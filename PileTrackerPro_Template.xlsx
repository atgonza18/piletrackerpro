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figuration" state="visible" r:id="rId4"/>
    <sheet sheetId="2" name="Plot Plan" state="visible" r:id="rId5"/>
    <sheet sheetId="3" name="Field Data Entry" state="visible" r:id="rId6"/>
    <sheet sheetId="4" name="Dashboard" state="visible" r:id="rId7"/>
    <sheet sheetId="5" name="Block Analysis" state="visible" r:id="rId8"/>
    <sheet sheetId="6" name="Instructions" state="visible" r:id="rId9"/>
  </sheets>
  <calcPr calcId="171027"/>
</workbook>
</file>

<file path=xl/sharedStrings.xml><?xml version="1.0" encoding="utf-8"?>
<sst xmlns="http://schemas.openxmlformats.org/spreadsheetml/2006/main" count="203" uniqueCount="161">
  <si>
    <t>PROJECT CONFIGURATION</t>
  </si>
  <si>
    <t>Project Settings</t>
  </si>
  <si>
    <t>Embedment Tolerance (ft):</t>
  </si>
  <si>
    <t>Change this value to adjust your project tolerance</t>
  </si>
  <si>
    <t>Pile Types (Customize Your Types Here)</t>
  </si>
  <si>
    <t>Pile Type Name</t>
  </si>
  <si>
    <t>Description (Optional)</t>
  </si>
  <si>
    <t>Type A</t>
  </si>
  <si>
    <t>12" Square Concrete Piles</t>
  </si>
  <si>
    <t>Type B</t>
  </si>
  <si>
    <t>14" Square Concrete Piles</t>
  </si>
  <si>
    <t>Type C</t>
  </si>
  <si>
    <t>16" Square Concrete Piles</t>
  </si>
  <si>
    <t>Type D</t>
  </si>
  <si>
    <t>H-Piles</t>
  </si>
  <si>
    <t/>
  </si>
  <si>
    <t>Add more types as needed...</t>
  </si>
  <si>
    <t>INSTRUCTIONS: Edit the Pile Type names above to match your project. The dropdowns in Plot Plan and Field Data Entry will automatically use these values. Add or remove rows as needed.</t>
  </si>
  <si>
    <t>Pile Name</t>
  </si>
  <si>
    <t>Pile Type</t>
  </si>
  <si>
    <t>Block</t>
  </si>
  <si>
    <t>Design Embedment (ft)</t>
  </si>
  <si>
    <t>Location/Grid</t>
  </si>
  <si>
    <t>Custom Field 1</t>
  </si>
  <si>
    <t>Custom Field 2</t>
  </si>
  <si>
    <t>Custom Field 3</t>
  </si>
  <si>
    <t>Notes</t>
  </si>
  <si>
    <t>P-001</t>
  </si>
  <si>
    <t>Block 1</t>
  </si>
  <si>
    <t>Grid A1</t>
  </si>
  <si>
    <t>P-002</t>
  </si>
  <si>
    <t>Grid A2</t>
  </si>
  <si>
    <t>P-003</t>
  </si>
  <si>
    <t>Grid A3</t>
  </si>
  <si>
    <t>P-004</t>
  </si>
  <si>
    <t>Block 2</t>
  </si>
  <si>
    <t>Grid B1</t>
  </si>
  <si>
    <t>P-005</t>
  </si>
  <si>
    <t>Grid B2</t>
  </si>
  <si>
    <t>Date</t>
  </si>
  <si>
    <t>Inspector</t>
  </si>
  <si>
    <t>Start Time</t>
  </si>
  <si>
    <t>End Time</t>
  </si>
  <si>
    <t>Drive Time (min)</t>
  </si>
  <si>
    <t>Embedment (ft)</t>
  </si>
  <si>
    <t>Refusal</t>
  </si>
  <si>
    <t>Status</t>
  </si>
  <si>
    <t>John Smith</t>
  </si>
  <si>
    <t>08:00</t>
  </si>
  <si>
    <t>08:45</t>
  </si>
  <si>
    <t>No</t>
  </si>
  <si>
    <t>09:00</t>
  </si>
  <si>
    <t>09:30</t>
  </si>
  <si>
    <t>Jane Doe</t>
  </si>
  <si>
    <t>10:00</t>
  </si>
  <si>
    <t>11:15</t>
  </si>
  <si>
    <t>13:00</t>
  </si>
  <si>
    <t>13:25</t>
  </si>
  <si>
    <t>08:30</t>
  </si>
  <si>
    <t>09:45</t>
  </si>
  <si>
    <t>Yes</t>
  </si>
  <si>
    <t>PILE TRACKER PRO - DASHBOARD</t>
  </si>
  <si>
    <t>PROJECT INFORMATION</t>
  </si>
  <si>
    <t>Report Generated:</t>
  </si>
  <si>
    <t>OVERALL STATISTICS</t>
  </si>
  <si>
    <t>BY PILE TYPE</t>
  </si>
  <si>
    <t>Metric</t>
  </si>
  <si>
    <t>Count</t>
  </si>
  <si>
    <t>Percentage</t>
  </si>
  <si>
    <t>Type</t>
  </si>
  <si>
    <t>Planned</t>
  </si>
  <si>
    <t>Installed</t>
  </si>
  <si>
    <t>Total Piles Planned</t>
  </si>
  <si>
    <t>-</t>
  </si>
  <si>
    <t>Total Piles Installed</t>
  </si>
  <si>
    <t>Accepted</t>
  </si>
  <si>
    <t>Tolerance</t>
  </si>
  <si>
    <t>Pending</t>
  </si>
  <si>
    <t>Refusals (Yes)</t>
  </si>
  <si>
    <t>Slow Drive (&gt;60 min)</t>
  </si>
  <si>
    <t>INSTRUCTIONS</t>
  </si>
  <si>
    <t>1. PLOT PLAN: Enter your expected pile data (paste from your plot plan). This is your master list of piles to be installed.</t>
  </si>
  <si>
    <t>2. FIELD DATA ENTRY: Enter actual installation data. The spreadsheet will auto-populate pile type, block, and design embedment.</t>
  </si>
  <si>
    <t>3. FORMULAS: Drive time, status, and lookups are calculated automatically. Don't edit formula columns.</t>
  </si>
  <si>
    <t>4. STATUS CODES: Accepted (green), Tolerance (yellow), Refusal (red), Pending (gray)</t>
  </si>
  <si>
    <t>5. DASHBOARD: View real-time statistics and progress. All charts update automatically.</t>
  </si>
  <si>
    <t>6. TOLERANCE: Default is 1 ft. Modify in cell C5 if your project uses a different tolerance.</t>
  </si>
  <si>
    <t>Total Piles</t>
  </si>
  <si>
    <t>% Complete</t>
  </si>
  <si>
    <t>Avg Drive Time</t>
  </si>
  <si>
    <t>Block 3</t>
  </si>
  <si>
    <t>Block 4</t>
  </si>
  <si>
    <t>PILETRACKER PRO - USER GUIDE &amp; INSTRUCTIONS</t>
  </si>
  <si>
    <t>Welcome to PileTrackerPro!</t>
  </si>
  <si>
    <t>This Excel template replicates the functionality of the PileTrackerPro web application, allowing you to track pile installation data offline with automatic calculations, visual analytics, and professional reporting.</t>
  </si>
  <si>
    <t>CUSTOMIZATION &amp; FLEXIBILITY</t>
  </si>
  <si>
    <t>Configuration Sheet - Your Control Center</t>
  </si>
  <si>
    <t>The Configuration sheet is where you customize the template to match your project. Here you can: (1) Change the embedment tolerance, (2) Edit pile type names to match your engineering specs, (3) Add or remove pile types as needed. All dropdowns and formulas automatically update when you change these settings!</t>
  </si>
  <si>
    <t>Flexible CSV Import</t>
  </si>
  <si>
    <t>Different engineering companies provide different CSV formats. This template includes 3 Custom Fields in both Plot Plan and Field Data Entry sheets. You can rename these column headers to match your CSV columns (e.g., "Pile Length", "Diameter", "Contractor", etc.) and paste your data directly. The core formulas won't be affected.</t>
  </si>
  <si>
    <t>How to Change Pile Types</t>
  </si>
  <si>
    <t>Go to Configuration sheet → Edit the Pile Type Name column (cells B9-B20). Your changes will automatically update: (1) Dropdown lists in Plot Plan, (2) Dashboard "By Pile Type" section, (3) All references throughout the workbook. You can have as many or as few pile types as your project requires.</t>
  </si>
  <si>
    <t>HOW TO USE THIS SPREADSHEET</t>
  </si>
  <si>
    <t>1. Configure Your Project in CONFIGURATION Sheet</t>
  </si>
  <si>
    <t>Start here! Customize pile types to match your engineering specifications. Edit the pile type names in column B (cells B9-B20) - these will auto-populate in all dropdowns. Adjust the embedment tolerance if your project uses a different value than the default 1 ft. This sheet is your control center for project-specific settings.</t>
  </si>
  <si>
    <t>2. Enter Plot Plan Data in PLOT PLAN Sheet</t>
  </si>
  <si>
    <t>This is your master list of expected piles. Paste your pile plot plan data here, or enter it manually. The template includes 3 Custom Fields - rename these headers to match any extra columns in your CSV (e.g., "Pile Length", "Diameter"). Pile Type dropdown will show your configured types from step 1.</t>
  </si>
  <si>
    <t>3. Enter Field Data in FIELD DATA ENTRY Sheet</t>
  </si>
  <si>
    <t>As piles are installed, log the actual data here. When you enter a Pile Name that exists in the Plot Plan, the Design Embedment, Pile Type, and Block will auto-populate via VLOOKUP formulas. Enter the date, inspector name, start/end times, embedment, and whether there was refusal. The Drive Time and Status will calculate automatically using your configured tolerance.</t>
  </si>
  <si>
    <t>4. Monitor Progress on the DASHBOARD</t>
  </si>
  <si>
    <t>View real-time statistics including total piles planned vs installed, status breakdown (Accepted/Tolerance/Refusal/Pending), and performance metrics. All numbers update automatically as you add field data. The "By Pile Type" section dynamically shows your configured pile types.</t>
  </si>
  <si>
    <t>5. Analyze Performance in BLOCK ANALYSIS</t>
  </si>
  <si>
    <t>See detailed metrics for each block including acceptance rates, average drive times, and completion percentages. Great for identifying problem areas or high-performing blocks.</t>
  </si>
  <si>
    <t>UNDERSTANDING STATUS CODES</t>
  </si>
  <si>
    <t>ACCEPTED: Embedment is greater than or equal to Design Embedment. Pile meets specifications.</t>
  </si>
  <si>
    <t>TOLERANCE: Embedment is within tolerance range (Design Embedment - Tolerance to Design Embedment). May require engineering review.</t>
  </si>
  <si>
    <t>REFUSAL: Embedment is below Design Embedment minus Tolerance. Requires immediate attention and likely remediation.</t>
  </si>
  <si>
    <t>PENDING: No embedment data entered yet. Pile installation not completed or data not recorded.</t>
  </si>
  <si>
    <t>PRO TIPS &amp; BEST PRACTICES</t>
  </si>
  <si>
    <t>✓ CUSTOMIZE PILE TYPES in the Configuration sheet (cells B9-B20). All dropdowns, formulas, and the Dashboard will automatically update. This is the easiest way to match your project specifications.</t>
  </si>
  <si>
    <t>✓ The embedment tolerance is set to 1 ft by default in Configuration sheet (cell C5). Change this value if your project uses a different tolerance. All status calculations will update automatically.</t>
  </si>
  <si>
    <t>✓ CUSTOM FIELDS: Rename the "Custom Field 1/2/3" column headers in Plot Plan and Field Data Entry to match your CSV files. This makes importing data from different engineering companies much easier.</t>
  </si>
  <si>
    <t>✓ Don't delete or modify the formula columns in Field Data Entry (Drive Time, Status, Design Embedment, Pile Type, Block). These auto-calculate based on your input.</t>
  </si>
  <si>
    <t>✓ To add more pile types: Go to Configuration sheet → Add new type names in column B below row 13 → They'll automatically appear in all dropdowns.</t>
  </si>
  <si>
    <t>✓ When adding new rows in Field Data Entry, copy the formulas down from the row above to ensure calculations continue working.</t>
  </si>
  <si>
    <t>✓ The Plot Plan is your source of truth. Make sure pile names match exactly between Plot Plan and Field Data Entry for the VLOOKUP formulas to work.</t>
  </si>
  <si>
    <t>✓ Use the Dashboard as a printable progress report. Hide gridlines are already off for a clean presentation.</t>
  </si>
  <si>
    <t>✓ Slow drives are highlighted automatically when drive time exceeds 60 minutes. This threshold is hardcoded but can be modified in the conditional formatting rules.</t>
  </si>
  <si>
    <t>✓ The spreadsheet works in Excel, Google Sheets, and LibreOffice Calc. Some advanced formatting may vary slightly between applications.</t>
  </si>
  <si>
    <t>✓ Sample data is included in each sheet. You can delete it and start fresh, or modify it to match your project.</t>
  </si>
  <si>
    <t>✓ Time entries (Start Time, End Time) can be entered in various formats: "8:00 AM", "08:00", "0800", etc. The drive time formula will handle most formats.</t>
  </si>
  <si>
    <t>✓ Data validation prevents common errors (Pile Type dropdown, Refusal Yes/No). You can add more validation rules in Data → Data Validation.</t>
  </si>
  <si>
    <t>✓ To add charts or pivot tables, use Excel's built-in tools with the Field Data Entry or Block Analysis sheets as source data.</t>
  </si>
  <si>
    <t>✓ Back up your file regularly, especially before making major changes like deleting rows or modifying formulas.</t>
  </si>
  <si>
    <t>✓ The Refusal column (Yes/No) is different from Refusal status. "Refusal: Yes" means the pile hit refusal during driving. Status "Refusal" means embedment is below tolerance.</t>
  </si>
  <si>
    <t>✓ If you reorganize columns, update the VLOOKUP formulas accordingly. The current formulas reference specific column numbers.</t>
  </si>
  <si>
    <t>KEY FORMULAS EXPLAINED</t>
  </si>
  <si>
    <t>Drive Time Calculation:</t>
  </si>
  <si>
    <t>=((TIMEVALUE(End Time)-TIMEVALUE(Start Time))*24*60)</t>
  </si>
  <si>
    <t>Converts time difference to minutes. Multiplies by 24 (hours) then 60 (minutes).</t>
  </si>
  <si>
    <t>Status Calculation:</t>
  </si>
  <si>
    <t>=IF(Embedment="","Pending",IF(Embedment&gt;=Design,"Accepted",IF(Embedment&gt;=(Design-Tolerance),"Tolerance","Refusal")))</t>
  </si>
  <si>
    <t>Nested IF statement that compares actual embedment against design embedment and tolerance to determine status.</t>
  </si>
  <si>
    <t>Design Embedment Lookup:</t>
  </si>
  <si>
    <t>=IFERROR(VLOOKUP(PileName,PlotPlan!A:D,4,FALSE),"")</t>
  </si>
  <si>
    <t>Looks up the pile name in Plot Plan and returns the design embedment (column 4). IFERROR handles missing piles gracefully.</t>
  </si>
  <si>
    <t>Percentage Complete:</t>
  </si>
  <si>
    <t>=IF(Total&gt;0,(Total-Pending)/Total,0)</t>
  </si>
  <si>
    <t>Calculates completion rate by subtracting pending piles from total, then dividing by total.</t>
  </si>
  <si>
    <t>TROUBLESHOOTING</t>
  </si>
  <si>
    <t>Problem: VLOOKUP returns blank or #N/A error</t>
  </si>
  <si>
    <t>Solution: Make sure the pile name in Field Data Entry exactly matches the pile name in Plot Plan (case-sensitive, no extra spaces).</t>
  </si>
  <si>
    <t>Problem: Drive Time shows strange numbers or errors</t>
  </si>
  <si>
    <t>Solution: Ensure start and end times are formatted as times, not text. Use format like "8:00 AM" or "14:30".</t>
  </si>
  <si>
    <t>Problem: Status not updating correctly</t>
  </si>
  <si>
    <t>Solution: Check that embedment and design embedment are numeric values (not text). Also verify tolerance setting in Dashboard C5.</t>
  </si>
  <si>
    <t>Problem: Conditional formatting not showing colors</t>
  </si>
  <si>
    <t>Solution: The formatting rules may have been cleared. Check Data → Conditional Formatting to restore them.</t>
  </si>
  <si>
    <t>Problem: New rows don't have formulas</t>
  </si>
  <si>
    <t>Solution: Copy formulas from the row above, or select the cell with the formula and drag the fill handle down.</t>
  </si>
  <si>
    <t>© 2025 PileTrackerPro - Excel Template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</si>
</sst>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yy"/>
    <numFmt numFmtId="165" formatCode="0.0%"/>
    <numFmt numFmtId="166" formatCode="0.0"/>
  </numFmts>
  <fonts count="21" x14ac:knownFonts="1">
    <font>
      <color theme="1"/>
      <family val="2"/>
      <scheme val="minor"/>
      <sz val="11"/>
      <name val="Calibri"/>
    </font>
    <font>
      <b/>
      <color rgb="FFFFFFFF"/>
      <sz val="16"/>
    </font>
    <font>
      <b/>
      <color rgb="FFFFFFFF"/>
      <sz val="12"/>
    </font>
    <font>
      <b/>
    </font>
    <font>
      <i/>
      <sz val="10"/>
    </font>
    <font>
      <b/>
      <color rgb="FF1F2937"/>
      <sz val="20"/>
    </font>
    <font>
      <b/>
      <color rgb="FFFFFFFF"/>
      <sz val="14"/>
    </font>
    <font>
      <b/>
      <color rgb="FFFFFFFF"/>
    </font>
    <font>
      <b/>
      <color rgb="FFFFFFFF"/>
      <sz val="18"/>
    </font>
    <font>
      <b/>
      <color rgb="FF2563EB"/>
      <sz val="14"/>
    </font>
    <font>
      <b/>
      <color rgb="FFEA580C"/>
      <sz val="11"/>
    </font>
    <font>
      <b/>
      <color rgb="FF0891B2"/>
      <sz val="11"/>
    </font>
    <font>
      <b/>
      <color rgb="FF7C3AED"/>
      <sz val="11"/>
    </font>
    <font>
      <b/>
      <color rgb="FF1F2937"/>
      <sz val="12"/>
    </font>
    <font>
      <b/>
      <color rgb="FF2563EB"/>
      <sz val="12"/>
    </font>
    <font>
      <b/>
      <color rgb="FF059669"/>
      <sz val="12"/>
    </font>
    <font>
      <b/>
      <color rgb="FF7C3AED"/>
      <sz val="12"/>
    </font>
    <font>
      <b/>
      <color rgb="FFDC2626"/>
      <sz val="12"/>
    </font>
    <font>
      <color rgb="FF374151"/>
      <sz val="10"/>
      <name val="Courier New"/>
    </font>
    <font>
      <b/>
      <color rgb="FFDC2626"/>
    </font>
    <font>
      <i/>
      <color rgb="FF9CA3AF"/>
      <sz val="10"/>
    </font>
  </fonts>
  <fills count="22">
    <fill>
      <patternFill patternType="none"/>
    </fill>
    <fill>
      <patternFill patternType="gray125"/>
    </fill>
    <fill>
      <patternFill patternType="solid">
        <fgColor rgb="FF1F2937"/>
      </patternFill>
    </fill>
    <fill>
      <patternFill patternType="solid">
        <fgColor rgb="FF2563EB"/>
      </patternFill>
    </fill>
    <fill>
      <patternFill patternType="solid">
        <fgColor rgb="FFDBEAFE"/>
      </patternFill>
    </fill>
    <fill>
      <patternFill patternType="solid">
        <fgColor rgb="FF059669"/>
      </patternFill>
    </fill>
    <fill>
      <patternFill patternType="solid">
        <fgColor rgb="FFD1FAE5"/>
      </patternFill>
    </fill>
    <fill>
      <patternFill patternType="solid">
        <fgColor rgb="FFF3F4F6"/>
      </patternFill>
    </fill>
    <fill>
      <patternFill patternType="solid">
        <fgColor rgb="FFFEF3C7"/>
      </patternFill>
    </fill>
    <fill>
      <patternFill patternType="solid">
        <fgColor rgb="FFE5E7EB"/>
      </patternFill>
    </fill>
    <fill>
      <patternFill patternType="solid">
        <fgColor rgb="FF7C3AED"/>
      </patternFill>
    </fill>
    <fill>
      <patternFill patternType="solid">
        <fgColor rgb="FF047857"/>
      </patternFill>
    </fill>
    <fill>
      <patternFill patternType="solid">
        <fgColor rgb="FF6D28D9"/>
      </patternFill>
    </fill>
    <fill>
      <patternFill patternType="solid">
        <fgColor rgb="FFFECACA"/>
      </patternFill>
    </fill>
    <fill>
      <patternFill patternType="solid">
        <fgColor rgb="FF6B7280"/>
      </patternFill>
    </fill>
    <fill>
      <patternFill patternType="solid">
        <fgColor rgb="FFDC2626"/>
      </patternFill>
    </fill>
    <fill>
      <patternFill patternType="solid">
        <fgColor rgb="FFEA580C"/>
      </patternFill>
    </fill>
    <fill>
      <patternFill patternType="solid">
        <fgColor rgb="FF10B981"/>
      </patternFill>
    </fill>
    <fill>
      <patternFill patternType="solid">
        <fgColor rgb="FFF59E0B"/>
      </patternFill>
    </fill>
    <fill>
      <patternFill patternType="solid">
        <fgColor rgb="FFEF4444"/>
      </patternFill>
    </fill>
    <fill>
      <patternFill patternType="solid">
        <fgColor rgb="FF0891B2"/>
      </patternFill>
    </fill>
    <fill>
      <patternFill patternType="solid">
        <fgColor rgb="FFFEF2F2"/>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right style="thin"/>
      <top style="thin"/>
      <bottom style="thin"/>
      <diagonal/>
    </border>
  </borders>
  <cellStyleXfs count="1">
    <xf numFmtId="0" fontId="0" fillId="0" borderId="0"/>
  </cellStyleXfs>
  <cellXfs count="5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0" fillId="4" borderId="0" xfId="0" applyFill="1"/>
    <xf numFmtId="0" fontId="4" fillId="0" borderId="0" xfId="0" applyFont="1"/>
    <xf numFmtId="0" fontId="2" fillId="5" borderId="0" xfId="0" applyFont="1" applyFill="1" applyAlignment="1">
      <alignment horizontal="center" vertical="center"/>
    </xf>
    <xf numFmtId="0" fontId="3" fillId="6" borderId="0" xfId="0" applyFont="1" applyFill="1" applyAlignment="1">
      <alignment horizontal="center"/>
    </xf>
    <xf numFmtId="0" fontId="0" fillId="7" borderId="0" xfId="0" applyFill="1"/>
    <xf numFmtId="0" fontId="0" fillId="8" borderId="0" xfId="0" applyFill="1" applyAlignment="1">
      <alignment vertical="top" wrapText="1"/>
    </xf>
    <xf numFmtId="0" fontId="0" fillId="7" borderId="1" xfId="0" applyFill="1" applyBorder="1"/>
    <xf numFmtId="0" fontId="0" fillId="0" borderId="1" xfId="0" applyBorder="1"/>
    <xf numFmtId="164" fontId="0" fillId="7" borderId="1" xfId="0" applyNumberFormat="1" applyFill="1" applyBorder="1"/>
    <xf numFmtId="164" fontId="0" fillId="0" borderId="1" xfId="0" applyNumberFormat="1" applyBorder="1"/>
    <xf numFmtId="0" fontId="5" fillId="9" borderId="0" xfId="0" applyFont="1" applyFill="1" applyAlignment="1">
      <alignment horizontal="center" vertical="center"/>
    </xf>
    <xf numFmtId="0" fontId="6" fillId="3" borderId="0" xfId="0" applyFont="1" applyFill="1" applyAlignment="1">
      <alignment horizontal="center" vertical="center"/>
    </xf>
    <xf numFmtId="164" fontId="0" fillId="4" borderId="0" xfId="0" applyNumberFormat="1" applyFill="1"/>
    <xf numFmtId="0" fontId="6" fillId="5" borderId="0" xfId="0" applyFont="1" applyFill="1" applyAlignment="1">
      <alignment horizontal="center" vertical="center"/>
    </xf>
    <xf numFmtId="0" fontId="6" fillId="10" borderId="0" xfId="0" applyFont="1" applyFill="1" applyAlignment="1">
      <alignment horizontal="center" vertical="center"/>
    </xf>
    <xf numFmtId="0" fontId="7" fillId="11" borderId="2" xfId="0" applyFont="1" applyFill="1" applyBorder="1" applyAlignment="1">
      <alignment horizontal="center" vertical="center"/>
    </xf>
    <xf numFmtId="0" fontId="7" fillId="12" borderId="2" xfId="0" applyFont="1" applyFill="1" applyBorder="1" applyAlignment="1">
      <alignment horizontal="center" vertical="center"/>
    </xf>
    <xf numFmtId="0" fontId="3" fillId="0" borderId="2" xfId="0" applyFont="1" applyBorder="1"/>
    <xf numFmtId="0" fontId="0" fillId="0" borderId="2" xfId="0" applyBorder="1" applyAlignment="1">
      <alignment horizontal="center"/>
    </xf>
    <xf numFmtId="0" fontId="3" fillId="6" borderId="2" xfId="0" applyFont="1" applyFill="1" applyBorder="1"/>
    <xf numFmtId="165" fontId="0" fillId="0" borderId="2" xfId="0" applyNumberFormat="1" applyBorder="1" applyAlignment="1">
      <alignment horizontal="center"/>
    </xf>
    <xf numFmtId="0" fontId="3" fillId="8" borderId="2" xfId="0" applyFont="1" applyFill="1" applyBorder="1"/>
    <xf numFmtId="0" fontId="3" fillId="13" borderId="2" xfId="0" applyFont="1" applyFill="1" applyBorder="1"/>
    <xf numFmtId="0" fontId="6" fillId="14" borderId="0" xfId="0" applyFont="1" applyFill="1" applyAlignment="1">
      <alignment horizontal="center" vertical="center"/>
    </xf>
    <xf numFmtId="0" fontId="0" fillId="0" borderId="2" xfId="0" applyBorder="1" applyAlignment="1">
      <alignment vertical="top" wrapText="1"/>
    </xf>
    <xf numFmtId="0" fontId="2" fillId="15" borderId="0" xfId="0" applyFont="1" applyFill="1" applyAlignment="1">
      <alignment horizontal="center" vertical="center"/>
    </xf>
    <xf numFmtId="0" fontId="3" fillId="0" borderId="1" xfId="0" applyFont="1" applyBorder="1"/>
    <xf numFmtId="0" fontId="0" fillId="0" borderId="1" xfId="0" applyBorder="1" applyAlignment="1">
      <alignment horizontal="center"/>
    </xf>
    <xf numFmtId="165" fontId="0" fillId="0" borderId="1" xfId="0" applyNumberFormat="1" applyBorder="1" applyAlignment="1">
      <alignment horizontal="center"/>
    </xf>
    <xf numFmtId="166" fontId="0" fillId="0" borderId="1" xfId="0" applyNumberFormat="1" applyBorder="1" applyAlignment="1">
      <alignment horizontal="center"/>
    </xf>
    <xf numFmtId="0" fontId="8" fillId="2" borderId="0" xfId="0" applyFont="1" applyFill="1" applyAlignment="1">
      <alignment horizontal="center" vertical="center"/>
    </xf>
    <xf numFmtId="0" fontId="9" fillId="0" borderId="0" xfId="0" applyFont="1"/>
    <xf numFmtId="0" fontId="0" fillId="0" borderId="0" xfId="0" applyAlignment="1">
      <alignment wrapText="1"/>
    </xf>
    <xf numFmtId="0" fontId="6" fillId="16" borderId="0" xfId="0" applyFont="1" applyFill="1" applyAlignment="1">
      <alignment horizontal="center" vertical="center"/>
    </xf>
    <xf numFmtId="0" fontId="10" fillId="0" borderId="0" xfId="0" applyFont="1"/>
    <xf numFmtId="0" fontId="0" fillId="7" borderId="0" xfId="0" applyFill="1" applyAlignment="1">
      <alignment wrapText="1" indent="1"/>
    </xf>
    <xf numFmtId="0" fontId="11" fillId="0" borderId="0" xfId="0" applyFont="1"/>
    <xf numFmtId="0" fontId="12" fillId="0" borderId="0" xfId="0" applyFont="1"/>
    <xf numFmtId="0" fontId="13" fillId="0" borderId="0" xfId="0" applyFont="1"/>
    <xf numFmtId="0" fontId="0" fillId="0" borderId="0" xfId="0" applyAlignment="1">
      <alignment wrapText="1" indent="2"/>
    </xf>
    <xf numFmtId="0" fontId="14" fillId="0" borderId="0" xfId="0" applyFont="1"/>
    <xf numFmtId="0" fontId="15" fillId="0" borderId="0" xfId="0" applyFont="1"/>
    <xf numFmtId="0" fontId="16" fillId="0" borderId="0" xfId="0" applyFont="1"/>
    <xf numFmtId="0" fontId="17" fillId="0" borderId="0" xfId="0" applyFont="1"/>
    <xf numFmtId="0" fontId="7" fillId="17" borderId="0" xfId="0" applyFont="1" applyFill="1" applyAlignment="1">
      <alignment vertical="center" wrapText="1" indent="1"/>
    </xf>
    <xf numFmtId="0" fontId="7" fillId="18" borderId="0" xfId="0" applyFont="1" applyFill="1" applyAlignment="1">
      <alignment vertical="center" wrapText="1" indent="1"/>
    </xf>
    <xf numFmtId="0" fontId="7" fillId="19" borderId="0" xfId="0" applyFont="1" applyFill="1" applyAlignment="1">
      <alignment vertical="center" wrapText="1" indent="1"/>
    </xf>
    <xf numFmtId="0" fontId="7" fillId="14" borderId="0" xfId="0" applyFont="1" applyFill="1" applyAlignment="1">
      <alignment vertical="center" wrapText="1" indent="1"/>
    </xf>
    <xf numFmtId="0" fontId="0" fillId="0" borderId="0" xfId="0" applyAlignment="1">
      <alignment wrapText="1" indent="1"/>
    </xf>
    <xf numFmtId="0" fontId="6" fillId="20" borderId="0" xfId="0" applyFont="1" applyFill="1" applyAlignment="1">
      <alignment horizontal="center" vertical="center"/>
    </xf>
    <xf numFmtId="0" fontId="18" fillId="7" borderId="0" xfId="0" applyFont="1" applyFill="1" applyAlignment="1">
      <alignment wrapText="1" indent="2"/>
    </xf>
    <xf numFmtId="0" fontId="6" fillId="19" borderId="0" xfId="0" applyFont="1" applyFill="1" applyAlignment="1">
      <alignment horizontal="center" vertical="center"/>
    </xf>
    <xf numFmtId="0" fontId="19" fillId="0" borderId="0" xfId="0" applyFont="1" applyAlignment="1">
      <alignment wrapText="1" indent="1"/>
    </xf>
    <xf numFmtId="0" fontId="0" fillId="21" borderId="0" xfId="0" applyFill="1" applyAlignment="1">
      <alignment wrapText="1" indent="2"/>
    </xf>
    <xf numFmtId="0" fontId="20" fillId="0" borderId="0" xfId="0" applyFont="1" applyAlignment="1">
      <alignment horizontal="center"/>
    </xf>
  </cellXfs>
  <cellStyles count="1">
    <cellStyle name="Normal" xfId="0" builtinId="0"/>
  </cellStyles>
  <dxfs count="8">
    <dxf>
      <font>
        <b/>
        <color rgb="FFFFFFFF"/>
      </font>
      <fill>
        <patternFill patternType="solid">
          <bgColor rgb="FF10B981"/>
        </patternFill>
      </fill>
    </dxf>
    <dxf>
      <font>
        <b/>
        <color rgb="FFFFFFFF"/>
      </font>
      <fill>
        <patternFill patternType="solid">
          <bgColor rgb="FFF59E0B"/>
        </patternFill>
      </fill>
    </dxf>
    <dxf>
      <font>
        <b/>
        <color rgb="FFFFFFFF"/>
      </font>
      <fill>
        <patternFill patternType="solid">
          <bgColor rgb="FFEF4444"/>
        </patternFill>
      </fill>
    </dxf>
    <dxf>
      <font>
        <b/>
        <color rgb="FFFFFFFF"/>
      </font>
      <fill>
        <patternFill patternType="solid">
          <bgColor rgb="FF6B7280"/>
        </patternFill>
      </fill>
    </dxf>
    <dxf>
      <font>
        <b/>
        <color rgb="FF991B1B"/>
      </font>
      <fill>
        <patternFill patternType="solid">
          <bgColor rgb="FFFECACA"/>
        </patternFill>
      </fill>
    </dxf>
    <dxf>
      <font>
        <b/>
        <color rgb="FF92400E"/>
      </font>
      <fill>
        <patternFill patternType="solid">
          <bgColor rgb="FFFEF3C7"/>
        </patternFill>
      </fill>
    </dxf>
    <dxf>
      <font>
        <b/>
        <color rgb="FF065F46"/>
      </font>
      <fill>
        <patternFill patternType="solid">
          <bgColor rgb="FFD1FAE5"/>
        </patternFill>
      </fill>
    </dxf>
    <dxf>
      <font>
        <b/>
        <color rgb="FF991B1B"/>
      </font>
      <fill>
        <patternFill patternType="solid">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5"/>
  <sheetViews>
    <sheetView workbookViewId="0"/>
  </sheetViews>
  <sheetFormatPr defaultRowHeight="15" outlineLevelRow="0" outlineLevelCol="0" x14ac:dyDescent="55"/>
  <cols>
    <col min="1" max="1" width="3" customWidth="1"/>
    <col min="2" max="2" width="30" customWidth="1"/>
    <col min="3" max="3" width="20" customWidth="1"/>
    <col min="4" max="4" width="50" customWidth="1"/>
    <col min="5" max="5" width="3" customWidth="1"/>
  </cols>
  <sheetData>
    <row r="2" ht="30" customHeight="1" spans="2:4" x14ac:dyDescent="0.25">
      <c r="B2" s="1" t="s">
        <v>0</v>
      </c>
      <c r="C2" s="1"/>
      <c r="D2" s="1"/>
    </row>
    <row r="4" ht="25" customHeight="1" spans="2:3" x14ac:dyDescent="0.25">
      <c r="B4" s="2" t="s">
        <v>1</v>
      </c>
      <c r="C4" s="2"/>
    </row>
    <row r="5" spans="2:4" x14ac:dyDescent="0.25">
      <c r="B5" s="3" t="s">
        <v>2</v>
      </c>
      <c r="C5" s="4">
        <v>1</v>
      </c>
      <c r="D5" s="5" t="s">
        <v>3</v>
      </c>
    </row>
    <row r="7" ht="25" customHeight="1" spans="2:3" x14ac:dyDescent="0.25">
      <c r="B7" s="6" t="s">
        <v>4</v>
      </c>
      <c r="C7" s="6"/>
    </row>
    <row r="8" spans="2:3" x14ac:dyDescent="0.25">
      <c r="B8" s="7" t="s">
        <v>5</v>
      </c>
      <c r="C8" s="7" t="s">
        <v>6</v>
      </c>
    </row>
    <row r="9" spans="2:3" x14ac:dyDescent="0.25">
      <c r="B9" s="8" t="s">
        <v>7</v>
      </c>
      <c r="C9" s="8" t="s">
        <v>8</v>
      </c>
    </row>
    <row r="10" spans="2:3" x14ac:dyDescent="0.25">
      <c r="B10" t="s">
        <v>9</v>
      </c>
      <c r="C10" t="s">
        <v>10</v>
      </c>
    </row>
    <row r="11" spans="2:3" x14ac:dyDescent="0.25">
      <c r="B11" s="8" t="s">
        <v>11</v>
      </c>
      <c r="C11" s="8" t="s">
        <v>12</v>
      </c>
    </row>
    <row r="12" spans="2:3" x14ac:dyDescent="0.25">
      <c r="B12" t="s">
        <v>13</v>
      </c>
      <c r="C12" t="s">
        <v>14</v>
      </c>
    </row>
    <row r="13" spans="2:3" x14ac:dyDescent="0.25">
      <c r="B13" s="8" t="s">
        <v>15</v>
      </c>
      <c r="C13" s="8" t="s">
        <v>16</v>
      </c>
    </row>
    <row r="15" ht="50" customHeight="1" spans="2:4" x14ac:dyDescent="0.25">
      <c r="B15" s="9" t="s">
        <v>17</v>
      </c>
      <c r="C15" s="9"/>
      <c r="D15" s="9"/>
    </row>
  </sheetData>
  <mergeCells count="4">
    <mergeCell ref="B2:D2"/>
    <mergeCell ref="B4:C4"/>
    <mergeCell ref="B7:C7"/>
    <mergeCell ref="B15:D1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15" customWidth="1"/>
    <col min="4" max="4" width="22" customWidth="1"/>
    <col min="5" max="8" width="20" customWidth="1"/>
    <col min="9" max="9" width="30" customWidth="1"/>
  </cols>
  <sheetData>
    <row r="1" ht="25" customHeight="1" spans="1:9" s="2" customFormat="1" x14ac:dyDescent="0.25">
      <c r="A1" s="2" t="s">
        <v>18</v>
      </c>
      <c r="B1" s="2" t="s">
        <v>19</v>
      </c>
      <c r="C1" s="2" t="s">
        <v>20</v>
      </c>
      <c r="D1" s="2" t="s">
        <v>21</v>
      </c>
      <c r="E1" s="2" t="s">
        <v>22</v>
      </c>
      <c r="F1" s="2" t="s">
        <v>23</v>
      </c>
      <c r="G1" s="2" t="s">
        <v>24</v>
      </c>
      <c r="H1" s="2" t="s">
        <v>25</v>
      </c>
      <c r="I1" s="2" t="s">
        <v>26</v>
      </c>
    </row>
    <row r="2" spans="1:9" s="8" customFormat="1" x14ac:dyDescent="0.25">
      <c r="A2" s="10" t="s">
        <v>27</v>
      </c>
      <c r="B2" s="10" t="s">
        <v>7</v>
      </c>
      <c r="C2" s="10" t="s">
        <v>28</v>
      </c>
      <c r="D2" s="10">
        <v>45</v>
      </c>
      <c r="E2" s="10" t="s">
        <v>29</v>
      </c>
      <c r="F2" s="10"/>
      <c r="G2" s="10"/>
      <c r="H2" s="10"/>
      <c r="I2" s="10" t="s">
        <v>15</v>
      </c>
    </row>
    <row r="3" spans="1:9" x14ac:dyDescent="0.25">
      <c r="A3" s="11" t="s">
        <v>30</v>
      </c>
      <c r="B3" s="11" t="s">
        <v>7</v>
      </c>
      <c r="C3" s="11" t="s">
        <v>28</v>
      </c>
      <c r="D3" s="11">
        <v>45</v>
      </c>
      <c r="E3" s="11" t="s">
        <v>31</v>
      </c>
      <c r="F3" s="11"/>
      <c r="G3" s="11"/>
      <c r="H3" s="11"/>
      <c r="I3" s="11" t="s">
        <v>15</v>
      </c>
    </row>
    <row r="4" spans="1:9" s="8" customFormat="1" x14ac:dyDescent="0.25">
      <c r="A4" s="10" t="s">
        <v>32</v>
      </c>
      <c r="B4" s="10" t="s">
        <v>9</v>
      </c>
      <c r="C4" s="10" t="s">
        <v>28</v>
      </c>
      <c r="D4" s="10">
        <v>50</v>
      </c>
      <c r="E4" s="10" t="s">
        <v>33</v>
      </c>
      <c r="F4" s="10"/>
      <c r="G4" s="10"/>
      <c r="H4" s="10"/>
      <c r="I4" s="10" t="s">
        <v>15</v>
      </c>
    </row>
    <row r="5" spans="1:9" x14ac:dyDescent="0.25">
      <c r="A5" s="11" t="s">
        <v>34</v>
      </c>
      <c r="B5" s="11" t="s">
        <v>9</v>
      </c>
      <c r="C5" s="11" t="s">
        <v>35</v>
      </c>
      <c r="D5" s="11">
        <v>50</v>
      </c>
      <c r="E5" s="11" t="s">
        <v>36</v>
      </c>
      <c r="F5" s="11"/>
      <c r="G5" s="11"/>
      <c r="H5" s="11"/>
      <c r="I5" s="11" t="s">
        <v>15</v>
      </c>
    </row>
    <row r="6" spans="1:9" s="8" customFormat="1" x14ac:dyDescent="0.25">
      <c r="A6" s="10" t="s">
        <v>37</v>
      </c>
      <c r="B6" s="10" t="s">
        <v>11</v>
      </c>
      <c r="C6" s="10" t="s">
        <v>35</v>
      </c>
      <c r="D6" s="10">
        <v>55</v>
      </c>
      <c r="E6" s="10" t="s">
        <v>38</v>
      </c>
      <c r="F6" s="10"/>
      <c r="G6" s="10"/>
      <c r="H6" s="10"/>
      <c r="I6" s="10" t="s">
        <v>15</v>
      </c>
    </row>
    <row r="7" spans="1:2" x14ac:dyDescent="0.25">
      <c r="A7" s="11"/>
      <c r="B7" s="11"/>
    </row>
    <row r="8" spans="1:2" s="8" customFormat="1" x14ac:dyDescent="0.25">
      <c r="A8" s="10"/>
      <c r="B8" s="10"/>
    </row>
    <row r="9" spans="1:2" x14ac:dyDescent="0.25">
      <c r="A9" s="11"/>
      <c r="B9" s="11"/>
    </row>
    <row r="10" spans="1:2" s="8" customFormat="1" x14ac:dyDescent="0.25">
      <c r="A10" s="10"/>
      <c r="B10" s="10"/>
    </row>
    <row r="11" spans="1:2" x14ac:dyDescent="0.25">
      <c r="A11" s="11"/>
      <c r="B11" s="11"/>
    </row>
    <row r="12" spans="1:2" s="8" customFormat="1" x14ac:dyDescent="0.25">
      <c r="A12" s="10"/>
      <c r="B12" s="10"/>
    </row>
    <row r="13" spans="1:2" x14ac:dyDescent="0.25">
      <c r="A13" s="11"/>
      <c r="B13" s="11"/>
    </row>
    <row r="14" spans="1:2" s="8" customFormat="1" x14ac:dyDescent="0.25">
      <c r="A14" s="10"/>
      <c r="B14" s="10"/>
    </row>
    <row r="15" spans="1:2" x14ac:dyDescent="0.25">
      <c r="A15" s="11"/>
      <c r="B15" s="11"/>
    </row>
    <row r="16" spans="1:2" s="8" customFormat="1" x14ac:dyDescent="0.25">
      <c r="A16" s="10"/>
      <c r="B16" s="10"/>
    </row>
    <row r="17" spans="1:2" x14ac:dyDescent="0.25">
      <c r="A17" s="11"/>
      <c r="B17" s="11"/>
    </row>
    <row r="18" spans="1:2" s="8" customFormat="1" x14ac:dyDescent="0.25">
      <c r="A18" s="10"/>
      <c r="B18" s="10"/>
    </row>
    <row r="19" spans="1:2" x14ac:dyDescent="0.25">
      <c r="A19" s="11"/>
      <c r="B19" s="11"/>
    </row>
    <row r="20" spans="1:2" s="8" customFormat="1" x14ac:dyDescent="0.25">
      <c r="A20" s="10"/>
      <c r="B20" s="10"/>
    </row>
    <row r="21" spans="1:2" x14ac:dyDescent="0.25">
      <c r="A21" s="11"/>
      <c r="B21" s="11"/>
    </row>
    <row r="22" spans="1:2" s="8" customFormat="1" x14ac:dyDescent="0.25">
      <c r="A22" s="10"/>
      <c r="B22" s="10"/>
    </row>
    <row r="23" spans="1:2" x14ac:dyDescent="0.25">
      <c r="A23" s="11"/>
      <c r="B23" s="11"/>
    </row>
    <row r="24" spans="1:2" s="8" customFormat="1" x14ac:dyDescent="0.25">
      <c r="A24" s="10"/>
      <c r="B24" s="10"/>
    </row>
    <row r="25" spans="1:2" x14ac:dyDescent="0.25">
      <c r="A25" s="11"/>
      <c r="B25" s="11"/>
    </row>
    <row r="26" spans="1:2" s="8" customFormat="1" x14ac:dyDescent="0.25">
      <c r="A26" s="10"/>
      <c r="B26" s="10"/>
    </row>
    <row r="27" spans="1:2" x14ac:dyDescent="0.25">
      <c r="A27" s="11"/>
      <c r="B27" s="11"/>
    </row>
    <row r="28" spans="1:2" s="8" customFormat="1" x14ac:dyDescent="0.25">
      <c r="A28" s="10"/>
      <c r="B28" s="10"/>
    </row>
    <row r="29" spans="1:2" x14ac:dyDescent="0.25">
      <c r="A29" s="11"/>
      <c r="B29" s="11"/>
    </row>
    <row r="30" spans="1:2" s="8" customFormat="1" x14ac:dyDescent="0.25">
      <c r="A30" s="10"/>
      <c r="B30" s="10"/>
    </row>
    <row r="31" spans="1:2" x14ac:dyDescent="0.25">
      <c r="A31" s="11"/>
      <c r="B31" s="11"/>
    </row>
    <row r="32" spans="1:2" s="8" customFormat="1" x14ac:dyDescent="0.25">
      <c r="A32" s="10"/>
      <c r="B32" s="10"/>
    </row>
    <row r="33" spans="1:2" x14ac:dyDescent="0.25">
      <c r="A33" s="11"/>
      <c r="B33" s="11"/>
    </row>
    <row r="34" spans="1:2" s="8" customFormat="1" x14ac:dyDescent="0.25">
      <c r="A34" s="10"/>
      <c r="B34" s="10"/>
    </row>
    <row r="35" spans="1:2" x14ac:dyDescent="0.25">
      <c r="A35" s="11"/>
      <c r="B35" s="11"/>
    </row>
    <row r="36" spans="1:2" s="8" customFormat="1" x14ac:dyDescent="0.25">
      <c r="A36" s="10"/>
      <c r="B36" s="10"/>
    </row>
    <row r="37" spans="1:2" x14ac:dyDescent="0.25">
      <c r="A37" s="11"/>
      <c r="B37" s="11"/>
    </row>
    <row r="38" spans="1:2" s="8" customFormat="1" x14ac:dyDescent="0.25">
      <c r="A38" s="10"/>
      <c r="B38" s="10"/>
    </row>
    <row r="39" spans="1:2" x14ac:dyDescent="0.25">
      <c r="A39" s="11"/>
      <c r="B39" s="11"/>
    </row>
    <row r="40" spans="1:2" s="8" customFormat="1" x14ac:dyDescent="0.25">
      <c r="A40" s="10"/>
      <c r="B40" s="10"/>
    </row>
    <row r="41" spans="1:2" x14ac:dyDescent="0.25">
      <c r="A41" s="11"/>
      <c r="B41" s="11"/>
    </row>
    <row r="42" spans="1:2" s="8" customFormat="1" x14ac:dyDescent="0.25">
      <c r="A42" s="10"/>
      <c r="B42" s="10"/>
    </row>
    <row r="43" spans="1:2" x14ac:dyDescent="0.25">
      <c r="A43" s="11"/>
      <c r="B43" s="11"/>
    </row>
    <row r="44" spans="1:2" s="8" customFormat="1" x14ac:dyDescent="0.25">
      <c r="A44" s="10"/>
      <c r="B44" s="10"/>
    </row>
    <row r="45" spans="1:2" x14ac:dyDescent="0.25">
      <c r="A45" s="11"/>
      <c r="B45" s="11"/>
    </row>
    <row r="46" spans="1:2" s="8" customFormat="1" x14ac:dyDescent="0.25">
      <c r="A46" s="10"/>
      <c r="B46" s="10"/>
    </row>
    <row r="47" spans="1:2" x14ac:dyDescent="0.25">
      <c r="A47" s="11"/>
      <c r="B47" s="11"/>
    </row>
    <row r="48" spans="1:2" s="8" customFormat="1" x14ac:dyDescent="0.25">
      <c r="A48" s="10"/>
      <c r="B48" s="10"/>
    </row>
    <row r="49" spans="1:2" x14ac:dyDescent="0.25">
      <c r="A49" s="11"/>
      <c r="B49" s="11"/>
    </row>
    <row r="50" spans="1:2" s="8" customFormat="1" x14ac:dyDescent="0.25">
      <c r="A50" s="10"/>
      <c r="B50" s="10"/>
    </row>
    <row r="51" spans="1:2" x14ac:dyDescent="0.25">
      <c r="A51" s="11"/>
      <c r="B51" s="11"/>
    </row>
    <row r="52" spans="1:2" s="8" customFormat="1" x14ac:dyDescent="0.25">
      <c r="A52" s="10"/>
      <c r="B52" s="10"/>
    </row>
    <row r="53" spans="1:2" x14ac:dyDescent="0.25">
      <c r="A53" s="11"/>
      <c r="B53" s="11"/>
    </row>
    <row r="54" spans="1:2" s="8" customFormat="1" x14ac:dyDescent="0.25">
      <c r="A54" s="10"/>
      <c r="B54" s="10"/>
    </row>
    <row r="55" spans="1:2" x14ac:dyDescent="0.25">
      <c r="A55" s="11"/>
      <c r="B55" s="11"/>
    </row>
    <row r="56" spans="1:2" s="8" customFormat="1" x14ac:dyDescent="0.25">
      <c r="A56" s="10"/>
      <c r="B56" s="10"/>
    </row>
    <row r="57" spans="1:2" x14ac:dyDescent="0.25">
      <c r="A57" s="11"/>
      <c r="B57" s="11"/>
    </row>
    <row r="58" spans="1:2" s="8" customFormat="1" x14ac:dyDescent="0.25">
      <c r="A58" s="10"/>
      <c r="B58" s="10"/>
    </row>
    <row r="59" spans="1:2" x14ac:dyDescent="0.25">
      <c r="A59" s="11"/>
      <c r="B59" s="11"/>
    </row>
    <row r="60" spans="1:2" s="8" customFormat="1" x14ac:dyDescent="0.25">
      <c r="A60" s="10"/>
      <c r="B60" s="10"/>
    </row>
    <row r="61" spans="1:2" x14ac:dyDescent="0.25">
      <c r="A61" s="11"/>
      <c r="B61" s="11"/>
    </row>
    <row r="62" spans="1:2" s="8" customFormat="1" x14ac:dyDescent="0.25">
      <c r="A62" s="10"/>
      <c r="B62" s="10"/>
    </row>
    <row r="63" spans="1:2" x14ac:dyDescent="0.25">
      <c r="A63" s="11"/>
      <c r="B63" s="11"/>
    </row>
    <row r="64" spans="1:2" s="8" customFormat="1" x14ac:dyDescent="0.25">
      <c r="A64" s="10"/>
      <c r="B64" s="10"/>
    </row>
    <row r="65" spans="1:2" x14ac:dyDescent="0.25">
      <c r="A65" s="11"/>
      <c r="B65" s="11"/>
    </row>
    <row r="66" spans="1:2" s="8" customFormat="1" x14ac:dyDescent="0.25">
      <c r="A66" s="10"/>
      <c r="B66" s="10"/>
    </row>
    <row r="67" spans="1:2" x14ac:dyDescent="0.25">
      <c r="A67" s="11"/>
      <c r="B67" s="11"/>
    </row>
    <row r="68" spans="1:2" s="8" customFormat="1" x14ac:dyDescent="0.25">
      <c r="A68" s="10"/>
      <c r="B68" s="10"/>
    </row>
    <row r="69" spans="1:2" x14ac:dyDescent="0.25">
      <c r="A69" s="11"/>
      <c r="B69" s="11"/>
    </row>
    <row r="70" spans="1:2" s="8" customFormat="1" x14ac:dyDescent="0.25">
      <c r="A70" s="10"/>
      <c r="B70" s="10"/>
    </row>
    <row r="71" spans="1:2" x14ac:dyDescent="0.25">
      <c r="A71" s="11"/>
      <c r="B71" s="11"/>
    </row>
    <row r="72" spans="1:2" s="8" customFormat="1" x14ac:dyDescent="0.25">
      <c r="A72" s="10"/>
      <c r="B72" s="10"/>
    </row>
    <row r="73" spans="1:2" x14ac:dyDescent="0.25">
      <c r="A73" s="11"/>
      <c r="B73" s="11"/>
    </row>
    <row r="74" spans="1:2" s="8" customFormat="1" x14ac:dyDescent="0.25">
      <c r="A74" s="10"/>
      <c r="B74" s="10"/>
    </row>
    <row r="75" spans="1:2" x14ac:dyDescent="0.25">
      <c r="A75" s="11"/>
      <c r="B75" s="11"/>
    </row>
    <row r="76" spans="1:2" s="8" customFormat="1" x14ac:dyDescent="0.25">
      <c r="A76" s="10"/>
      <c r="B76" s="10"/>
    </row>
    <row r="77" spans="1:2" x14ac:dyDescent="0.25">
      <c r="A77" s="11"/>
      <c r="B77" s="11"/>
    </row>
    <row r="78" spans="1:2" s="8" customFormat="1" x14ac:dyDescent="0.25">
      <c r="A78" s="10"/>
      <c r="B78" s="10"/>
    </row>
    <row r="79" spans="1:2" x14ac:dyDescent="0.25">
      <c r="A79" s="11"/>
      <c r="B79" s="11"/>
    </row>
    <row r="80" spans="1:2" s="8" customFormat="1" x14ac:dyDescent="0.25">
      <c r="A80" s="10"/>
      <c r="B80" s="10"/>
    </row>
    <row r="81" spans="1:2" x14ac:dyDescent="0.25">
      <c r="A81" s="11"/>
      <c r="B81" s="11"/>
    </row>
    <row r="82" spans="1:2" s="8" customFormat="1" x14ac:dyDescent="0.25">
      <c r="A82" s="10"/>
      <c r="B82" s="10"/>
    </row>
    <row r="83" spans="1:2" x14ac:dyDescent="0.25">
      <c r="A83" s="11"/>
      <c r="B83" s="11"/>
    </row>
    <row r="84" spans="1:2" s="8" customFormat="1" x14ac:dyDescent="0.25">
      <c r="A84" s="10"/>
      <c r="B84" s="10"/>
    </row>
    <row r="85" spans="1:2" x14ac:dyDescent="0.25">
      <c r="A85" s="11"/>
      <c r="B85" s="11"/>
    </row>
    <row r="86" spans="1:2" s="8" customFormat="1" x14ac:dyDescent="0.25">
      <c r="A86" s="10"/>
      <c r="B86" s="10"/>
    </row>
    <row r="87" spans="1:2" x14ac:dyDescent="0.25">
      <c r="A87" s="11"/>
      <c r="B87" s="11"/>
    </row>
    <row r="88" spans="1:2" s="8" customFormat="1" x14ac:dyDescent="0.25">
      <c r="A88" s="10"/>
      <c r="B88" s="10"/>
    </row>
    <row r="89" spans="1:2" x14ac:dyDescent="0.25">
      <c r="A89" s="11"/>
      <c r="B89" s="11"/>
    </row>
    <row r="90" spans="1:2" s="8" customFormat="1" x14ac:dyDescent="0.25">
      <c r="A90" s="10"/>
      <c r="B90" s="10"/>
    </row>
    <row r="91" spans="1:2" x14ac:dyDescent="0.25">
      <c r="A91" s="11"/>
      <c r="B91" s="11"/>
    </row>
    <row r="92" spans="1:2" s="8" customFormat="1" x14ac:dyDescent="0.25">
      <c r="A92" s="10"/>
      <c r="B92" s="10"/>
    </row>
    <row r="93" spans="1:2" x14ac:dyDescent="0.25">
      <c r="A93" s="11"/>
      <c r="B93" s="11"/>
    </row>
    <row r="94" spans="1:2" s="8" customFormat="1" x14ac:dyDescent="0.25">
      <c r="A94" s="10"/>
      <c r="B94" s="10"/>
    </row>
    <row r="95" spans="1:2" x14ac:dyDescent="0.25">
      <c r="A95" s="11"/>
      <c r="B95" s="11"/>
    </row>
    <row r="96" spans="1:2" s="8" customFormat="1" x14ac:dyDescent="0.25">
      <c r="A96" s="10"/>
      <c r="B96" s="10"/>
    </row>
    <row r="97" spans="1:2" x14ac:dyDescent="0.25">
      <c r="A97" s="11"/>
      <c r="B97" s="11"/>
    </row>
    <row r="98" spans="1:2" s="8" customFormat="1" x14ac:dyDescent="0.25">
      <c r="A98" s="10"/>
      <c r="B98" s="10"/>
    </row>
    <row r="99" spans="1:2" x14ac:dyDescent="0.25">
      <c r="A99" s="11"/>
      <c r="B99" s="11"/>
    </row>
    <row r="100" spans="1:2" s="8" customFormat="1" x14ac:dyDescent="0.25">
      <c r="A100" s="10"/>
      <c r="B100" s="10"/>
    </row>
    <row r="101" spans="1:2" x14ac:dyDescent="0.25">
      <c r="A101" s="11"/>
      <c r="B101" s="11"/>
    </row>
    <row r="102" spans="1:2" s="8" customFormat="1" x14ac:dyDescent="0.25">
      <c r="A102" s="10"/>
      <c r="B102" s="10"/>
    </row>
    <row r="103" spans="1:2" x14ac:dyDescent="0.25">
      <c r="A103" s="11"/>
      <c r="B103" s="11"/>
    </row>
    <row r="104" spans="1:2" s="8" customFormat="1" x14ac:dyDescent="0.25">
      <c r="A104" s="10"/>
      <c r="B104" s="10"/>
    </row>
    <row r="105" spans="1:2" x14ac:dyDescent="0.25">
      <c r="A105" s="11"/>
      <c r="B105" s="11"/>
    </row>
    <row r="106" spans="1:2" s="8" customFormat="1" x14ac:dyDescent="0.25">
      <c r="A106" s="10"/>
      <c r="B106" s="10"/>
    </row>
    <row r="107" spans="1:2" x14ac:dyDescent="0.25">
      <c r="A107" s="11"/>
      <c r="B107" s="11"/>
    </row>
    <row r="108" spans="1:2" s="8" customFormat="1" x14ac:dyDescent="0.25">
      <c r="A108" s="10"/>
      <c r="B108" s="10"/>
    </row>
    <row r="109" spans="1:2" x14ac:dyDescent="0.25">
      <c r="A109" s="11"/>
      <c r="B109" s="11"/>
    </row>
    <row r="110" spans="1:2" s="8" customFormat="1" x14ac:dyDescent="0.25">
      <c r="A110" s="10"/>
      <c r="B110" s="10"/>
    </row>
    <row r="111" spans="1:2" x14ac:dyDescent="0.25">
      <c r="A111" s="11"/>
      <c r="B111" s="11"/>
    </row>
    <row r="112" spans="1:2" s="8" customFormat="1" x14ac:dyDescent="0.25">
      <c r="A112" s="10"/>
      <c r="B112" s="10"/>
    </row>
    <row r="113" spans="1:2" x14ac:dyDescent="0.25">
      <c r="A113" s="11"/>
      <c r="B113" s="11"/>
    </row>
    <row r="114" spans="1:2" s="8" customFormat="1" x14ac:dyDescent="0.25">
      <c r="A114" s="10"/>
      <c r="B114" s="10"/>
    </row>
    <row r="115" spans="1:2" x14ac:dyDescent="0.25">
      <c r="A115" s="11"/>
      <c r="B115" s="11"/>
    </row>
    <row r="116" spans="1:2" s="8" customFormat="1" x14ac:dyDescent="0.25">
      <c r="A116" s="10"/>
      <c r="B116" s="10"/>
    </row>
    <row r="117" spans="1:2" x14ac:dyDescent="0.25">
      <c r="A117" s="11"/>
      <c r="B117" s="11"/>
    </row>
    <row r="118" spans="1:2" s="8" customFormat="1" x14ac:dyDescent="0.25">
      <c r="A118" s="10"/>
      <c r="B118" s="10"/>
    </row>
    <row r="119" spans="1:2" x14ac:dyDescent="0.25">
      <c r="A119" s="11"/>
      <c r="B119" s="11"/>
    </row>
    <row r="120" spans="1:2" s="8" customFormat="1" x14ac:dyDescent="0.25">
      <c r="A120" s="10"/>
      <c r="B120" s="10"/>
    </row>
    <row r="121" spans="1:2" x14ac:dyDescent="0.25">
      <c r="A121" s="11"/>
      <c r="B121" s="11"/>
    </row>
    <row r="122" spans="1:2" s="8" customFormat="1" x14ac:dyDescent="0.25">
      <c r="A122" s="10"/>
      <c r="B122" s="10"/>
    </row>
    <row r="123" spans="1:2" x14ac:dyDescent="0.25">
      <c r="A123" s="11"/>
      <c r="B123" s="11"/>
    </row>
    <row r="124" spans="1:2" s="8" customFormat="1" x14ac:dyDescent="0.25">
      <c r="A124" s="10"/>
      <c r="B124" s="10"/>
    </row>
    <row r="125" spans="1:2" x14ac:dyDescent="0.25">
      <c r="A125" s="11"/>
      <c r="B125" s="11"/>
    </row>
    <row r="126" spans="1:2" s="8" customFormat="1" x14ac:dyDescent="0.25">
      <c r="A126" s="10"/>
      <c r="B126" s="10"/>
    </row>
    <row r="127" spans="1:2" x14ac:dyDescent="0.25">
      <c r="A127" s="11"/>
      <c r="B127" s="11"/>
    </row>
    <row r="128" spans="1:2" s="8" customFormat="1" x14ac:dyDescent="0.25">
      <c r="A128" s="10"/>
      <c r="B128" s="10"/>
    </row>
    <row r="129" spans="1:2" x14ac:dyDescent="0.25">
      <c r="A129" s="11"/>
      <c r="B129" s="11"/>
    </row>
    <row r="130" spans="1:2" s="8" customFormat="1" x14ac:dyDescent="0.25">
      <c r="A130" s="10"/>
      <c r="B130" s="10"/>
    </row>
    <row r="131" spans="1:2" x14ac:dyDescent="0.25">
      <c r="A131" s="11"/>
      <c r="B131" s="11"/>
    </row>
    <row r="132" spans="1:2" s="8" customFormat="1" x14ac:dyDescent="0.25">
      <c r="A132" s="10"/>
      <c r="B132" s="10"/>
    </row>
    <row r="133" spans="1:2" x14ac:dyDescent="0.25">
      <c r="A133" s="11"/>
      <c r="B133" s="11"/>
    </row>
    <row r="134" spans="1:2" s="8" customFormat="1" x14ac:dyDescent="0.25">
      <c r="A134" s="10"/>
      <c r="B134" s="10"/>
    </row>
    <row r="135" spans="1:2" x14ac:dyDescent="0.25">
      <c r="A135" s="11"/>
      <c r="B135" s="11"/>
    </row>
    <row r="136" spans="1:2" s="8" customFormat="1" x14ac:dyDescent="0.25">
      <c r="A136" s="10"/>
      <c r="B136" s="10"/>
    </row>
    <row r="137" spans="1:2" x14ac:dyDescent="0.25">
      <c r="A137" s="11"/>
      <c r="B137" s="11"/>
    </row>
    <row r="138" spans="1:2" s="8" customFormat="1" x14ac:dyDescent="0.25">
      <c r="A138" s="10"/>
      <c r="B138" s="10"/>
    </row>
    <row r="139" spans="1:2" x14ac:dyDescent="0.25">
      <c r="A139" s="11"/>
      <c r="B139" s="11"/>
    </row>
    <row r="140" spans="1:2" s="8" customFormat="1" x14ac:dyDescent="0.25">
      <c r="A140" s="10"/>
      <c r="B140" s="10"/>
    </row>
    <row r="141" spans="1:2" x14ac:dyDescent="0.25">
      <c r="A141" s="11"/>
      <c r="B141" s="11"/>
    </row>
    <row r="142" spans="1:2" s="8" customFormat="1" x14ac:dyDescent="0.25">
      <c r="A142" s="10"/>
      <c r="B142" s="10"/>
    </row>
    <row r="143" spans="1:2" x14ac:dyDescent="0.25">
      <c r="A143" s="11"/>
      <c r="B143" s="11"/>
    </row>
    <row r="144" spans="1:2" s="8" customFormat="1" x14ac:dyDescent="0.25">
      <c r="A144" s="10"/>
      <c r="B144" s="10"/>
    </row>
    <row r="145" spans="1:2" x14ac:dyDescent="0.25">
      <c r="A145" s="11"/>
      <c r="B145" s="11"/>
    </row>
    <row r="146" spans="1:2" s="8" customFormat="1" x14ac:dyDescent="0.25">
      <c r="A146" s="10"/>
      <c r="B146" s="10"/>
    </row>
    <row r="147" spans="1:2" x14ac:dyDescent="0.25">
      <c r="A147" s="11"/>
      <c r="B147" s="11"/>
    </row>
    <row r="148" spans="1:2" s="8" customFormat="1" x14ac:dyDescent="0.25">
      <c r="A148" s="10"/>
      <c r="B148" s="10"/>
    </row>
    <row r="149" spans="1:2" x14ac:dyDescent="0.25">
      <c r="A149" s="11"/>
      <c r="B149" s="11"/>
    </row>
    <row r="150" spans="1:2" s="8" customFormat="1" x14ac:dyDescent="0.25">
      <c r="A150" s="10"/>
      <c r="B150" s="10"/>
    </row>
    <row r="151" spans="1:2" x14ac:dyDescent="0.25">
      <c r="A151" s="11"/>
      <c r="B151" s="11"/>
    </row>
    <row r="152" spans="1:2" s="8" customFormat="1" x14ac:dyDescent="0.25">
      <c r="A152" s="10"/>
      <c r="B152" s="10"/>
    </row>
    <row r="153" spans="1:2" x14ac:dyDescent="0.25">
      <c r="A153" s="11"/>
      <c r="B153" s="11"/>
    </row>
    <row r="154" spans="1:2" s="8" customFormat="1" x14ac:dyDescent="0.25">
      <c r="A154" s="10"/>
      <c r="B154" s="10"/>
    </row>
    <row r="155" spans="1:2" x14ac:dyDescent="0.25">
      <c r="A155" s="11"/>
      <c r="B155" s="11"/>
    </row>
    <row r="156" spans="1:2" s="8" customFormat="1" x14ac:dyDescent="0.25">
      <c r="A156" s="10"/>
      <c r="B156" s="10"/>
    </row>
    <row r="157" spans="1:2" x14ac:dyDescent="0.25">
      <c r="A157" s="11"/>
      <c r="B157" s="11"/>
    </row>
    <row r="158" spans="1:2" s="8" customFormat="1" x14ac:dyDescent="0.25">
      <c r="A158" s="10"/>
      <c r="B158" s="10"/>
    </row>
    <row r="159" spans="1:2" x14ac:dyDescent="0.25">
      <c r="A159" s="11"/>
      <c r="B159" s="11"/>
    </row>
    <row r="160" spans="1:2" s="8" customFormat="1" x14ac:dyDescent="0.25">
      <c r="A160" s="10"/>
      <c r="B160" s="10"/>
    </row>
    <row r="161" spans="1:2" x14ac:dyDescent="0.25">
      <c r="A161" s="11"/>
      <c r="B161" s="11"/>
    </row>
    <row r="162" spans="1:2" s="8" customFormat="1" x14ac:dyDescent="0.25">
      <c r="A162" s="10"/>
      <c r="B162" s="10"/>
    </row>
    <row r="163" spans="1:2" x14ac:dyDescent="0.25">
      <c r="A163" s="11"/>
      <c r="B163" s="11"/>
    </row>
    <row r="164" spans="1:2" s="8" customFormat="1" x14ac:dyDescent="0.25">
      <c r="A164" s="10"/>
      <c r="B164" s="10"/>
    </row>
    <row r="165" spans="1:2" x14ac:dyDescent="0.25">
      <c r="A165" s="11"/>
      <c r="B165" s="11"/>
    </row>
    <row r="166" spans="1:2" s="8" customFormat="1" x14ac:dyDescent="0.25">
      <c r="A166" s="10"/>
      <c r="B166" s="10"/>
    </row>
    <row r="167" spans="1:2" x14ac:dyDescent="0.25">
      <c r="A167" s="11"/>
      <c r="B167" s="11"/>
    </row>
    <row r="168" spans="1:2" s="8" customFormat="1" x14ac:dyDescent="0.25">
      <c r="A168" s="10"/>
      <c r="B168" s="10"/>
    </row>
    <row r="169" spans="1:2" x14ac:dyDescent="0.25">
      <c r="A169" s="11"/>
      <c r="B169" s="11"/>
    </row>
    <row r="170" spans="1:2" s="8" customFormat="1" x14ac:dyDescent="0.25">
      <c r="A170" s="10"/>
      <c r="B170" s="10"/>
    </row>
    <row r="171" spans="1:2" x14ac:dyDescent="0.25">
      <c r="A171" s="11"/>
      <c r="B171" s="11"/>
    </row>
    <row r="172" spans="1:2" s="8" customFormat="1" x14ac:dyDescent="0.25">
      <c r="A172" s="10"/>
      <c r="B172" s="10"/>
    </row>
    <row r="173" spans="1:2" x14ac:dyDescent="0.25">
      <c r="A173" s="11"/>
      <c r="B173" s="11"/>
    </row>
    <row r="174" spans="1:2" s="8" customFormat="1" x14ac:dyDescent="0.25">
      <c r="A174" s="10"/>
      <c r="B174" s="10"/>
    </row>
    <row r="175" spans="1:2" x14ac:dyDescent="0.25">
      <c r="A175" s="11"/>
      <c r="B175" s="11"/>
    </row>
    <row r="176" spans="1:2" s="8" customFormat="1" x14ac:dyDescent="0.25">
      <c r="A176" s="10"/>
      <c r="B176" s="10"/>
    </row>
    <row r="177" spans="1:2" x14ac:dyDescent="0.25">
      <c r="A177" s="11"/>
      <c r="B177" s="11"/>
    </row>
    <row r="178" spans="1:2" s="8" customFormat="1" x14ac:dyDescent="0.25">
      <c r="A178" s="10"/>
      <c r="B178" s="10"/>
    </row>
    <row r="179" spans="1:2" x14ac:dyDescent="0.25">
      <c r="A179" s="11"/>
      <c r="B179" s="11"/>
    </row>
    <row r="180" spans="1:2" s="8" customFormat="1" x14ac:dyDescent="0.25">
      <c r="A180" s="10"/>
      <c r="B180" s="10"/>
    </row>
    <row r="181" spans="1:2" x14ac:dyDescent="0.25">
      <c r="A181" s="11"/>
      <c r="B181" s="11"/>
    </row>
    <row r="182" spans="1:2" s="8" customFormat="1" x14ac:dyDescent="0.25">
      <c r="A182" s="10"/>
      <c r="B182" s="10"/>
    </row>
    <row r="183" spans="1:2" x14ac:dyDescent="0.25">
      <c r="A183" s="11"/>
      <c r="B183" s="11"/>
    </row>
    <row r="184" spans="1:2" s="8" customFormat="1" x14ac:dyDescent="0.25">
      <c r="A184" s="10"/>
      <c r="B184" s="10"/>
    </row>
    <row r="185" spans="1:2" x14ac:dyDescent="0.25">
      <c r="A185" s="11"/>
      <c r="B185" s="11"/>
    </row>
    <row r="186" spans="1:2" s="8" customFormat="1" x14ac:dyDescent="0.25">
      <c r="A186" s="10"/>
      <c r="B186" s="10"/>
    </row>
    <row r="187" spans="1:2" x14ac:dyDescent="0.25">
      <c r="A187" s="11"/>
      <c r="B187" s="11"/>
    </row>
    <row r="188" spans="1:2" s="8" customFormat="1" x14ac:dyDescent="0.25">
      <c r="A188" s="10"/>
      <c r="B188" s="10"/>
    </row>
    <row r="189" spans="1:2" x14ac:dyDescent="0.25">
      <c r="A189" s="11"/>
      <c r="B189" s="11"/>
    </row>
    <row r="190" spans="1:2" s="8" customFormat="1" x14ac:dyDescent="0.25">
      <c r="A190" s="10"/>
      <c r="B190" s="10"/>
    </row>
    <row r="191" spans="1:2" x14ac:dyDescent="0.25">
      <c r="A191" s="11"/>
      <c r="B191" s="11"/>
    </row>
    <row r="192" spans="1:2" s="8" customFormat="1" x14ac:dyDescent="0.25">
      <c r="A192" s="10"/>
      <c r="B192" s="10"/>
    </row>
    <row r="193" spans="1:2" x14ac:dyDescent="0.25">
      <c r="A193" s="11"/>
      <c r="B193" s="11"/>
    </row>
    <row r="194" spans="1:2" s="8" customFormat="1" x14ac:dyDescent="0.25">
      <c r="A194" s="10"/>
      <c r="B194" s="10"/>
    </row>
    <row r="195" spans="1:2" x14ac:dyDescent="0.25">
      <c r="A195" s="11"/>
      <c r="B195" s="11"/>
    </row>
    <row r="196" spans="1:2" s="8" customFormat="1" x14ac:dyDescent="0.25">
      <c r="A196" s="10"/>
      <c r="B196" s="10"/>
    </row>
    <row r="197" spans="1:2" x14ac:dyDescent="0.25">
      <c r="A197" s="11"/>
      <c r="B197" s="11"/>
    </row>
    <row r="198" spans="1:2" s="8" customFormat="1" x14ac:dyDescent="0.25">
      <c r="A198" s="10"/>
      <c r="B198" s="10"/>
    </row>
    <row r="199" spans="1:2" x14ac:dyDescent="0.25">
      <c r="A199" s="11"/>
      <c r="B199" s="11"/>
    </row>
    <row r="200" spans="1:2" s="8" customFormat="1" x14ac:dyDescent="0.25">
      <c r="A200" s="10"/>
      <c r="B200" s="10"/>
    </row>
    <row r="201" spans="1:2" x14ac:dyDescent="0.25">
      <c r="A201" s="11"/>
      <c r="B201" s="11"/>
    </row>
    <row r="202" spans="1:2" s="8" customFormat="1" x14ac:dyDescent="0.25">
      <c r="A202" s="10"/>
      <c r="B202" s="10"/>
    </row>
    <row r="203" spans="1:2" x14ac:dyDescent="0.25">
      <c r="A203" s="11"/>
      <c r="B203" s="11"/>
    </row>
    <row r="204" spans="1:2" s="8" customFormat="1" x14ac:dyDescent="0.25">
      <c r="A204" s="10"/>
      <c r="B204" s="10"/>
    </row>
    <row r="205" spans="1:2" x14ac:dyDescent="0.25">
      <c r="A205" s="11"/>
      <c r="B205" s="11"/>
    </row>
    <row r="206" spans="1:2" s="8" customFormat="1" x14ac:dyDescent="0.25">
      <c r="A206" s="10"/>
      <c r="B206" s="10"/>
    </row>
    <row r="207" spans="1:2" x14ac:dyDescent="0.25">
      <c r="A207" s="11"/>
      <c r="B207" s="11"/>
    </row>
    <row r="208" spans="1:2" s="8" customFormat="1" x14ac:dyDescent="0.25">
      <c r="A208" s="10"/>
      <c r="B208" s="10"/>
    </row>
    <row r="209" spans="1:2" x14ac:dyDescent="0.25">
      <c r="A209" s="11"/>
      <c r="B209" s="11"/>
    </row>
    <row r="210" spans="1:2" s="8" customFormat="1" x14ac:dyDescent="0.25">
      <c r="A210" s="10"/>
      <c r="B210" s="10"/>
    </row>
    <row r="211" spans="1:2" x14ac:dyDescent="0.25">
      <c r="A211" s="11"/>
      <c r="B211" s="11"/>
    </row>
    <row r="212" spans="1:2" s="8" customFormat="1" x14ac:dyDescent="0.25">
      <c r="A212" s="10"/>
      <c r="B212" s="10"/>
    </row>
    <row r="213" spans="1:2" x14ac:dyDescent="0.25">
      <c r="A213" s="11"/>
      <c r="B213" s="11"/>
    </row>
    <row r="214" spans="1:2" s="8" customFormat="1" x14ac:dyDescent="0.25">
      <c r="A214" s="10"/>
      <c r="B214" s="10"/>
    </row>
    <row r="215" spans="1:2" x14ac:dyDescent="0.25">
      <c r="A215" s="11"/>
      <c r="B215" s="11"/>
    </row>
    <row r="216" spans="1:2" s="8" customFormat="1" x14ac:dyDescent="0.25">
      <c r="A216" s="10"/>
      <c r="B216" s="10"/>
    </row>
    <row r="217" spans="1:2" x14ac:dyDescent="0.25">
      <c r="A217" s="11"/>
      <c r="B217" s="11"/>
    </row>
    <row r="218" spans="1:2" s="8" customFormat="1" x14ac:dyDescent="0.25">
      <c r="A218" s="10"/>
      <c r="B218" s="10"/>
    </row>
    <row r="219" spans="1:2" x14ac:dyDescent="0.25">
      <c r="A219" s="11"/>
      <c r="B219" s="11"/>
    </row>
    <row r="220" spans="1:2" s="8" customFormat="1" x14ac:dyDescent="0.25">
      <c r="A220" s="10"/>
      <c r="B220" s="10"/>
    </row>
    <row r="221" spans="1:2" x14ac:dyDescent="0.25">
      <c r="A221" s="11"/>
      <c r="B221" s="11"/>
    </row>
    <row r="222" spans="1:2" s="8" customFormat="1" x14ac:dyDescent="0.25">
      <c r="A222" s="10"/>
      <c r="B222" s="10"/>
    </row>
    <row r="223" spans="1:2" x14ac:dyDescent="0.25">
      <c r="A223" s="11"/>
      <c r="B223" s="11"/>
    </row>
    <row r="224" spans="1:2" s="8" customFormat="1" x14ac:dyDescent="0.25">
      <c r="A224" s="10"/>
      <c r="B224" s="10"/>
    </row>
    <row r="225" spans="1:2" x14ac:dyDescent="0.25">
      <c r="A225" s="11"/>
      <c r="B225" s="11"/>
    </row>
    <row r="226" spans="1:2" s="8" customFormat="1" x14ac:dyDescent="0.25">
      <c r="A226" s="10"/>
      <c r="B226" s="10"/>
    </row>
    <row r="227" spans="1:2" x14ac:dyDescent="0.25">
      <c r="A227" s="11"/>
      <c r="B227" s="11"/>
    </row>
    <row r="228" spans="1:2" s="8" customFormat="1" x14ac:dyDescent="0.25">
      <c r="A228" s="10"/>
      <c r="B228" s="10"/>
    </row>
    <row r="229" spans="1:2" x14ac:dyDescent="0.25">
      <c r="A229" s="11"/>
      <c r="B229" s="11"/>
    </row>
    <row r="230" spans="1:2" s="8" customFormat="1" x14ac:dyDescent="0.25">
      <c r="A230" s="10"/>
      <c r="B230" s="10"/>
    </row>
    <row r="231" spans="1:2" x14ac:dyDescent="0.25">
      <c r="A231" s="11"/>
      <c r="B231" s="11"/>
    </row>
    <row r="232" spans="1:2" s="8" customFormat="1" x14ac:dyDescent="0.25">
      <c r="A232" s="10"/>
      <c r="B232" s="10"/>
    </row>
    <row r="233" spans="1:2" x14ac:dyDescent="0.25">
      <c r="A233" s="11"/>
      <c r="B233" s="11"/>
    </row>
    <row r="234" spans="1:2" s="8" customFormat="1" x14ac:dyDescent="0.25">
      <c r="A234" s="10"/>
      <c r="B234" s="10"/>
    </row>
    <row r="235" spans="1:2" x14ac:dyDescent="0.25">
      <c r="A235" s="11"/>
      <c r="B235" s="11"/>
    </row>
    <row r="236" spans="1:2" s="8" customFormat="1" x14ac:dyDescent="0.25">
      <c r="A236" s="10"/>
      <c r="B236" s="10"/>
    </row>
    <row r="237" spans="1:2" x14ac:dyDescent="0.25">
      <c r="A237" s="11"/>
      <c r="B237" s="11"/>
    </row>
    <row r="238" spans="1:2" s="8" customFormat="1" x14ac:dyDescent="0.25">
      <c r="A238" s="10"/>
      <c r="B238" s="10"/>
    </row>
    <row r="239" spans="1:2" x14ac:dyDescent="0.25">
      <c r="A239" s="11"/>
      <c r="B239" s="11"/>
    </row>
    <row r="240" spans="1:2" s="8" customFormat="1" x14ac:dyDescent="0.25">
      <c r="A240" s="10"/>
      <c r="B240" s="10"/>
    </row>
    <row r="241" spans="1:2" x14ac:dyDescent="0.25">
      <c r="A241" s="11"/>
      <c r="B241" s="11"/>
    </row>
    <row r="242" spans="1:2" s="8" customFormat="1" x14ac:dyDescent="0.25">
      <c r="A242" s="10"/>
      <c r="B242" s="10"/>
    </row>
    <row r="243" spans="1:2" x14ac:dyDescent="0.25">
      <c r="A243" s="11"/>
      <c r="B243" s="11"/>
    </row>
    <row r="244" spans="1:2" s="8" customFormat="1" x14ac:dyDescent="0.25">
      <c r="A244" s="10"/>
      <c r="B244" s="10"/>
    </row>
    <row r="245" spans="1:2" x14ac:dyDescent="0.25">
      <c r="A245" s="11"/>
      <c r="B245" s="11"/>
    </row>
    <row r="246" spans="1:2" s="8" customFormat="1" x14ac:dyDescent="0.25">
      <c r="A246" s="10"/>
      <c r="B246" s="10"/>
    </row>
    <row r="247" spans="1:2" x14ac:dyDescent="0.25">
      <c r="A247" s="11"/>
      <c r="B247" s="11"/>
    </row>
    <row r="248" spans="1:2" s="8" customFormat="1" x14ac:dyDescent="0.25">
      <c r="A248" s="10"/>
      <c r="B248" s="10"/>
    </row>
    <row r="249" spans="1:2" x14ac:dyDescent="0.25">
      <c r="A249" s="11"/>
      <c r="B249" s="11"/>
    </row>
    <row r="250" spans="1:2" s="8" customFormat="1" x14ac:dyDescent="0.25">
      <c r="A250" s="10"/>
      <c r="B250" s="10"/>
    </row>
    <row r="251" spans="1:2" x14ac:dyDescent="0.25">
      <c r="A251" s="11"/>
      <c r="B251" s="11"/>
    </row>
    <row r="252" spans="1:2" s="8" customFormat="1" x14ac:dyDescent="0.25">
      <c r="A252" s="10"/>
      <c r="B252" s="10"/>
    </row>
    <row r="253" spans="1:2" x14ac:dyDescent="0.25">
      <c r="A253" s="11"/>
      <c r="B253" s="11"/>
    </row>
    <row r="254" spans="1:2" s="8" customFormat="1" x14ac:dyDescent="0.25">
      <c r="A254" s="10"/>
      <c r="B254" s="10"/>
    </row>
    <row r="255" spans="1:2" x14ac:dyDescent="0.25">
      <c r="A255" s="11"/>
      <c r="B255" s="11"/>
    </row>
    <row r="256" spans="1:2" s="8" customFormat="1" x14ac:dyDescent="0.25">
      <c r="A256" s="10"/>
      <c r="B256" s="10"/>
    </row>
    <row r="257" spans="1:2" x14ac:dyDescent="0.25">
      <c r="A257" s="11"/>
      <c r="B257" s="11"/>
    </row>
    <row r="258" spans="1:2" s="8" customFormat="1" x14ac:dyDescent="0.25">
      <c r="A258" s="10"/>
      <c r="B258" s="10"/>
    </row>
    <row r="259" spans="1:2" x14ac:dyDescent="0.25">
      <c r="A259" s="11"/>
      <c r="B259" s="11"/>
    </row>
    <row r="260" spans="1:2" s="8" customFormat="1" x14ac:dyDescent="0.25">
      <c r="A260" s="10"/>
      <c r="B260" s="10"/>
    </row>
    <row r="261" spans="1:2" x14ac:dyDescent="0.25">
      <c r="A261" s="11"/>
      <c r="B261" s="11"/>
    </row>
    <row r="262" spans="1:2" s="8" customFormat="1" x14ac:dyDescent="0.25">
      <c r="A262" s="10"/>
      <c r="B262" s="10"/>
    </row>
    <row r="263" spans="1:2" x14ac:dyDescent="0.25">
      <c r="A263" s="11"/>
      <c r="B263" s="11"/>
    </row>
    <row r="264" spans="1:2" s="8" customFormat="1" x14ac:dyDescent="0.25">
      <c r="A264" s="10"/>
      <c r="B264" s="10"/>
    </row>
    <row r="265" spans="1:2" x14ac:dyDescent="0.25">
      <c r="A265" s="11"/>
      <c r="B265" s="11"/>
    </row>
    <row r="266" spans="1:2" s="8" customFormat="1" x14ac:dyDescent="0.25">
      <c r="A266" s="10"/>
      <c r="B266" s="10"/>
    </row>
    <row r="267" spans="1:2" x14ac:dyDescent="0.25">
      <c r="A267" s="11"/>
      <c r="B267" s="11"/>
    </row>
    <row r="268" spans="1:2" s="8" customFormat="1" x14ac:dyDescent="0.25">
      <c r="A268" s="10"/>
      <c r="B268" s="10"/>
    </row>
    <row r="269" spans="1:2" x14ac:dyDescent="0.25">
      <c r="A269" s="11"/>
      <c r="B269" s="11"/>
    </row>
    <row r="270" spans="1:2" s="8" customFormat="1" x14ac:dyDescent="0.25">
      <c r="A270" s="10"/>
      <c r="B270" s="10"/>
    </row>
    <row r="271" spans="1:2" x14ac:dyDescent="0.25">
      <c r="A271" s="11"/>
      <c r="B271" s="11"/>
    </row>
    <row r="272" spans="1:2" s="8" customFormat="1" x14ac:dyDescent="0.25">
      <c r="A272" s="10"/>
      <c r="B272" s="10"/>
    </row>
    <row r="273" spans="1:2" x14ac:dyDescent="0.25">
      <c r="A273" s="11"/>
      <c r="B273" s="11"/>
    </row>
    <row r="274" spans="1:2" s="8" customFormat="1" x14ac:dyDescent="0.25">
      <c r="A274" s="10"/>
      <c r="B274" s="10"/>
    </row>
    <row r="275" spans="1:2" x14ac:dyDescent="0.25">
      <c r="A275" s="11"/>
      <c r="B275" s="11"/>
    </row>
    <row r="276" spans="1:2" s="8" customFormat="1" x14ac:dyDescent="0.25">
      <c r="A276" s="10"/>
      <c r="B276" s="10"/>
    </row>
    <row r="277" spans="1:2" x14ac:dyDescent="0.25">
      <c r="A277" s="11"/>
      <c r="B277" s="11"/>
    </row>
    <row r="278" spans="1:2" s="8" customFormat="1" x14ac:dyDescent="0.25">
      <c r="A278" s="10"/>
      <c r="B278" s="10"/>
    </row>
    <row r="279" spans="1:2" x14ac:dyDescent="0.25">
      <c r="A279" s="11"/>
      <c r="B279" s="11"/>
    </row>
    <row r="280" spans="1:2" s="8" customFormat="1" x14ac:dyDescent="0.25">
      <c r="A280" s="10"/>
      <c r="B280" s="10"/>
    </row>
    <row r="281" spans="1:2" x14ac:dyDescent="0.25">
      <c r="A281" s="11"/>
      <c r="B281" s="11"/>
    </row>
    <row r="282" spans="1:2" s="8" customFormat="1" x14ac:dyDescent="0.25">
      <c r="A282" s="10"/>
      <c r="B282" s="10"/>
    </row>
    <row r="283" spans="1:2" x14ac:dyDescent="0.25">
      <c r="A283" s="11"/>
      <c r="B283" s="11"/>
    </row>
    <row r="284" spans="1:2" s="8" customFormat="1" x14ac:dyDescent="0.25">
      <c r="A284" s="10"/>
      <c r="B284" s="10"/>
    </row>
    <row r="285" spans="1:2" x14ac:dyDescent="0.25">
      <c r="A285" s="11"/>
      <c r="B285" s="11"/>
    </row>
    <row r="286" spans="1:2" s="8" customFormat="1" x14ac:dyDescent="0.25">
      <c r="A286" s="10"/>
      <c r="B286" s="10"/>
    </row>
    <row r="287" spans="1:2" x14ac:dyDescent="0.25">
      <c r="A287" s="11"/>
      <c r="B287" s="11"/>
    </row>
    <row r="288" spans="1:2" s="8" customFormat="1" x14ac:dyDescent="0.25">
      <c r="A288" s="10"/>
      <c r="B288" s="10"/>
    </row>
    <row r="289" spans="1:2" x14ac:dyDescent="0.25">
      <c r="A289" s="11"/>
      <c r="B289" s="11"/>
    </row>
    <row r="290" spans="1:2" s="8" customFormat="1" x14ac:dyDescent="0.25">
      <c r="A290" s="10"/>
      <c r="B290" s="10"/>
    </row>
    <row r="291" spans="1:2" x14ac:dyDescent="0.25">
      <c r="A291" s="11"/>
      <c r="B291" s="11"/>
    </row>
    <row r="292" spans="1:2" s="8" customFormat="1" x14ac:dyDescent="0.25">
      <c r="A292" s="10"/>
      <c r="B292" s="10"/>
    </row>
    <row r="293" spans="1:2" x14ac:dyDescent="0.25">
      <c r="A293" s="11"/>
      <c r="B293" s="11"/>
    </row>
    <row r="294" spans="1:2" s="8" customFormat="1" x14ac:dyDescent="0.25">
      <c r="A294" s="10"/>
      <c r="B294" s="10"/>
    </row>
    <row r="295" spans="1:2" x14ac:dyDescent="0.25">
      <c r="A295" s="11"/>
      <c r="B295" s="11"/>
    </row>
    <row r="296" spans="1:2" s="8" customFormat="1" x14ac:dyDescent="0.25">
      <c r="A296" s="10"/>
      <c r="B296" s="10"/>
    </row>
    <row r="297" spans="1:2" x14ac:dyDescent="0.25">
      <c r="A297" s="11"/>
      <c r="B297" s="11"/>
    </row>
    <row r="298" spans="1:2" s="8" customFormat="1" x14ac:dyDescent="0.25">
      <c r="A298" s="10"/>
      <c r="B298" s="10"/>
    </row>
    <row r="299" spans="1:2" x14ac:dyDescent="0.25">
      <c r="A299" s="11"/>
      <c r="B299" s="11"/>
    </row>
    <row r="300" spans="1:2" s="8" customFormat="1" x14ac:dyDescent="0.25">
      <c r="A300" s="10"/>
      <c r="B300" s="10"/>
    </row>
    <row r="301" spans="1:2" x14ac:dyDescent="0.25">
      <c r="A301" s="11"/>
      <c r="B301" s="11"/>
    </row>
    <row r="302" spans="1:2" s="8" customFormat="1" x14ac:dyDescent="0.25">
      <c r="A302" s="10"/>
      <c r="B302" s="10"/>
    </row>
    <row r="303" spans="1:2" x14ac:dyDescent="0.25">
      <c r="A303" s="11"/>
      <c r="B303" s="11"/>
    </row>
    <row r="304" spans="1:2" s="8" customFormat="1" x14ac:dyDescent="0.25">
      <c r="A304" s="10"/>
      <c r="B304" s="10"/>
    </row>
    <row r="305" spans="1:2" x14ac:dyDescent="0.25">
      <c r="A305" s="11"/>
      <c r="B305" s="11"/>
    </row>
    <row r="306" spans="1:2" s="8" customFormat="1" x14ac:dyDescent="0.25">
      <c r="A306" s="10"/>
      <c r="B306" s="10"/>
    </row>
    <row r="307" spans="1:2" x14ac:dyDescent="0.25">
      <c r="A307" s="11"/>
      <c r="B307" s="11"/>
    </row>
    <row r="308" spans="1:2" s="8" customFormat="1" x14ac:dyDescent="0.25">
      <c r="A308" s="10"/>
      <c r="B308" s="10"/>
    </row>
    <row r="309" spans="1:2" x14ac:dyDescent="0.25">
      <c r="A309" s="11"/>
      <c r="B309" s="11"/>
    </row>
    <row r="310" spans="1:2" s="8" customFormat="1" x14ac:dyDescent="0.25">
      <c r="A310" s="10"/>
      <c r="B310" s="10"/>
    </row>
    <row r="311" spans="1:2" x14ac:dyDescent="0.25">
      <c r="A311" s="11"/>
      <c r="B311" s="11"/>
    </row>
    <row r="312" spans="1:2" s="8" customFormat="1" x14ac:dyDescent="0.25">
      <c r="A312" s="10"/>
      <c r="B312" s="10"/>
    </row>
    <row r="313" spans="1:2" x14ac:dyDescent="0.25">
      <c r="A313" s="11"/>
      <c r="B313" s="11"/>
    </row>
    <row r="314" spans="1:2" s="8" customFormat="1" x14ac:dyDescent="0.25">
      <c r="A314" s="10"/>
      <c r="B314" s="10"/>
    </row>
    <row r="315" spans="1:2" x14ac:dyDescent="0.25">
      <c r="A315" s="11"/>
      <c r="B315" s="11"/>
    </row>
    <row r="316" spans="1:2" s="8" customFormat="1" x14ac:dyDescent="0.25">
      <c r="A316" s="10"/>
      <c r="B316" s="10"/>
    </row>
    <row r="317" spans="1:2" x14ac:dyDescent="0.25">
      <c r="A317" s="11"/>
      <c r="B317" s="11"/>
    </row>
    <row r="318" spans="1:2" s="8" customFormat="1" x14ac:dyDescent="0.25">
      <c r="A318" s="10"/>
      <c r="B318" s="10"/>
    </row>
    <row r="319" spans="1:2" x14ac:dyDescent="0.25">
      <c r="A319" s="11"/>
      <c r="B319" s="11"/>
    </row>
    <row r="320" spans="1:2" s="8" customFormat="1" x14ac:dyDescent="0.25">
      <c r="A320" s="10"/>
      <c r="B320" s="10"/>
    </row>
    <row r="321" spans="1:2" x14ac:dyDescent="0.25">
      <c r="A321" s="11"/>
      <c r="B321" s="11"/>
    </row>
    <row r="322" spans="1:2" s="8" customFormat="1" x14ac:dyDescent="0.25">
      <c r="A322" s="10"/>
      <c r="B322" s="10"/>
    </row>
    <row r="323" spans="1:2" x14ac:dyDescent="0.25">
      <c r="A323" s="11"/>
      <c r="B323" s="11"/>
    </row>
    <row r="324" spans="1:2" s="8" customFormat="1" x14ac:dyDescent="0.25">
      <c r="A324" s="10"/>
      <c r="B324" s="10"/>
    </row>
    <row r="325" spans="1:2" x14ac:dyDescent="0.25">
      <c r="A325" s="11"/>
      <c r="B325" s="11"/>
    </row>
    <row r="326" spans="1:2" s="8" customFormat="1" x14ac:dyDescent="0.25">
      <c r="A326" s="10"/>
      <c r="B326" s="10"/>
    </row>
    <row r="327" spans="1:2" x14ac:dyDescent="0.25">
      <c r="A327" s="11"/>
      <c r="B327" s="11"/>
    </row>
    <row r="328" spans="1:2" s="8" customFormat="1" x14ac:dyDescent="0.25">
      <c r="A328" s="10"/>
      <c r="B328" s="10"/>
    </row>
    <row r="329" spans="1:2" x14ac:dyDescent="0.25">
      <c r="A329" s="11"/>
      <c r="B329" s="11"/>
    </row>
    <row r="330" spans="1:2" s="8" customFormat="1" x14ac:dyDescent="0.25">
      <c r="A330" s="10"/>
      <c r="B330" s="10"/>
    </row>
    <row r="331" spans="1:2" x14ac:dyDescent="0.25">
      <c r="A331" s="11"/>
      <c r="B331" s="11"/>
    </row>
    <row r="332" spans="1:2" s="8" customFormat="1" x14ac:dyDescent="0.25">
      <c r="A332" s="10"/>
      <c r="B332" s="10"/>
    </row>
    <row r="333" spans="1:2" x14ac:dyDescent="0.25">
      <c r="A333" s="11"/>
      <c r="B333" s="11"/>
    </row>
    <row r="334" spans="1:2" s="8" customFormat="1" x14ac:dyDescent="0.25">
      <c r="A334" s="10"/>
      <c r="B334" s="10"/>
    </row>
    <row r="335" spans="1:2" x14ac:dyDescent="0.25">
      <c r="A335" s="11"/>
      <c r="B335" s="11"/>
    </row>
    <row r="336" spans="1:2" s="8" customFormat="1" x14ac:dyDescent="0.25">
      <c r="A336" s="10"/>
      <c r="B336" s="10"/>
    </row>
    <row r="337" spans="1:2" x14ac:dyDescent="0.25">
      <c r="A337" s="11"/>
      <c r="B337" s="11"/>
    </row>
    <row r="338" spans="1:2" s="8" customFormat="1" x14ac:dyDescent="0.25">
      <c r="A338" s="10"/>
      <c r="B338" s="10"/>
    </row>
    <row r="339" spans="1:2" x14ac:dyDescent="0.25">
      <c r="A339" s="11"/>
      <c r="B339" s="11"/>
    </row>
    <row r="340" spans="1:2" s="8" customFormat="1" x14ac:dyDescent="0.25">
      <c r="A340" s="10"/>
      <c r="B340" s="10"/>
    </row>
    <row r="341" spans="1:2" x14ac:dyDescent="0.25">
      <c r="A341" s="11"/>
      <c r="B341" s="11"/>
    </row>
    <row r="342" spans="1:2" s="8" customFormat="1" x14ac:dyDescent="0.25">
      <c r="A342" s="10"/>
      <c r="B342" s="10"/>
    </row>
    <row r="343" spans="1:2" x14ac:dyDescent="0.25">
      <c r="A343" s="11"/>
      <c r="B343" s="11"/>
    </row>
    <row r="344" spans="1:2" s="8" customFormat="1" x14ac:dyDescent="0.25">
      <c r="A344" s="10"/>
      <c r="B344" s="10"/>
    </row>
    <row r="345" spans="1:2" x14ac:dyDescent="0.25">
      <c r="A345" s="11"/>
      <c r="B345" s="11"/>
    </row>
    <row r="346" spans="1:2" s="8" customFormat="1" x14ac:dyDescent="0.25">
      <c r="A346" s="10"/>
      <c r="B346" s="10"/>
    </row>
    <row r="347" spans="1:2" x14ac:dyDescent="0.25">
      <c r="A347" s="11"/>
      <c r="B347" s="11"/>
    </row>
    <row r="348" spans="1:2" s="8" customFormat="1" x14ac:dyDescent="0.25">
      <c r="A348" s="10"/>
      <c r="B348" s="10"/>
    </row>
    <row r="349" spans="1:2" x14ac:dyDescent="0.25">
      <c r="A349" s="11"/>
      <c r="B349" s="11"/>
    </row>
    <row r="350" spans="1:2" s="8" customFormat="1" x14ac:dyDescent="0.25">
      <c r="A350" s="10"/>
      <c r="B350" s="10"/>
    </row>
    <row r="351" spans="1:2" x14ac:dyDescent="0.25">
      <c r="A351" s="11"/>
      <c r="B351" s="11"/>
    </row>
    <row r="352" spans="1:2" s="8" customFormat="1" x14ac:dyDescent="0.25">
      <c r="A352" s="10"/>
      <c r="B352" s="10"/>
    </row>
    <row r="353" spans="1:2" x14ac:dyDescent="0.25">
      <c r="A353" s="11"/>
      <c r="B353" s="11"/>
    </row>
    <row r="354" spans="1:2" s="8" customFormat="1" x14ac:dyDescent="0.25">
      <c r="A354" s="10"/>
      <c r="B354" s="10"/>
    </row>
    <row r="355" spans="1:2" x14ac:dyDescent="0.25">
      <c r="A355" s="11"/>
      <c r="B355" s="11"/>
    </row>
    <row r="356" spans="1:2" s="8" customFormat="1" x14ac:dyDescent="0.25">
      <c r="A356" s="10"/>
      <c r="B356" s="10"/>
    </row>
    <row r="357" spans="1:2" x14ac:dyDescent="0.25">
      <c r="A357" s="11"/>
      <c r="B357" s="11"/>
    </row>
    <row r="358" spans="1:2" s="8" customFormat="1" x14ac:dyDescent="0.25">
      <c r="A358" s="10"/>
      <c r="B358" s="10"/>
    </row>
    <row r="359" spans="1:2" x14ac:dyDescent="0.25">
      <c r="A359" s="11"/>
      <c r="B359" s="11"/>
    </row>
    <row r="360" spans="1:2" s="8" customFormat="1" x14ac:dyDescent="0.25">
      <c r="A360" s="10"/>
      <c r="B360" s="10"/>
    </row>
    <row r="361" spans="1:2" x14ac:dyDescent="0.25">
      <c r="A361" s="11"/>
      <c r="B361" s="11"/>
    </row>
    <row r="362" spans="1:2" s="8" customFormat="1" x14ac:dyDescent="0.25">
      <c r="A362" s="10"/>
      <c r="B362" s="10"/>
    </row>
    <row r="363" spans="1:2" x14ac:dyDescent="0.25">
      <c r="A363" s="11"/>
      <c r="B363" s="11"/>
    </row>
    <row r="364" spans="1:2" s="8" customFormat="1" x14ac:dyDescent="0.25">
      <c r="A364" s="10"/>
      <c r="B364" s="10"/>
    </row>
    <row r="365" spans="1:2" x14ac:dyDescent="0.25">
      <c r="A365" s="11"/>
      <c r="B365" s="11"/>
    </row>
    <row r="366" spans="1:2" s="8" customFormat="1" x14ac:dyDescent="0.25">
      <c r="A366" s="10"/>
      <c r="B366" s="10"/>
    </row>
    <row r="367" spans="1:2" x14ac:dyDescent="0.25">
      <c r="A367" s="11"/>
      <c r="B367" s="11"/>
    </row>
    <row r="368" spans="1:2" s="8" customFormat="1" x14ac:dyDescent="0.25">
      <c r="A368" s="10"/>
      <c r="B368" s="10"/>
    </row>
    <row r="369" spans="1:2" x14ac:dyDescent="0.25">
      <c r="A369" s="11"/>
      <c r="B369" s="11"/>
    </row>
    <row r="370" spans="1:2" s="8" customFormat="1" x14ac:dyDescent="0.25">
      <c r="A370" s="10"/>
      <c r="B370" s="10"/>
    </row>
    <row r="371" spans="1:2" x14ac:dyDescent="0.25">
      <c r="A371" s="11"/>
      <c r="B371" s="11"/>
    </row>
    <row r="372" spans="1:2" s="8" customFormat="1" x14ac:dyDescent="0.25">
      <c r="A372" s="10"/>
      <c r="B372" s="10"/>
    </row>
    <row r="373" spans="1:2" x14ac:dyDescent="0.25">
      <c r="A373" s="11"/>
      <c r="B373" s="11"/>
    </row>
    <row r="374" spans="1:2" s="8" customFormat="1" x14ac:dyDescent="0.25">
      <c r="A374" s="10"/>
      <c r="B374" s="10"/>
    </row>
    <row r="375" spans="1:2" x14ac:dyDescent="0.25">
      <c r="A375" s="11"/>
      <c r="B375" s="11"/>
    </row>
    <row r="376" spans="1:2" s="8" customFormat="1" x14ac:dyDescent="0.25">
      <c r="A376" s="10"/>
      <c r="B376" s="10"/>
    </row>
    <row r="377" spans="1:2" x14ac:dyDescent="0.25">
      <c r="A377" s="11"/>
      <c r="B377" s="11"/>
    </row>
    <row r="378" spans="1:2" s="8" customFormat="1" x14ac:dyDescent="0.25">
      <c r="A378" s="10"/>
      <c r="B378" s="10"/>
    </row>
    <row r="379" spans="1:2" x14ac:dyDescent="0.25">
      <c r="A379" s="11"/>
      <c r="B379" s="11"/>
    </row>
    <row r="380" spans="1:2" s="8" customFormat="1" x14ac:dyDescent="0.25">
      <c r="A380" s="10"/>
      <c r="B380" s="10"/>
    </row>
    <row r="381" spans="1:2" x14ac:dyDescent="0.25">
      <c r="A381" s="11"/>
      <c r="B381" s="11"/>
    </row>
    <row r="382" spans="1:2" s="8" customFormat="1" x14ac:dyDescent="0.25">
      <c r="A382" s="10"/>
      <c r="B382" s="10"/>
    </row>
    <row r="383" spans="1:2" x14ac:dyDescent="0.25">
      <c r="A383" s="11"/>
      <c r="B383" s="11"/>
    </row>
    <row r="384" spans="1:2" s="8" customFormat="1" x14ac:dyDescent="0.25">
      <c r="A384" s="10"/>
      <c r="B384" s="10"/>
    </row>
    <row r="385" spans="1:2" x14ac:dyDescent="0.25">
      <c r="A385" s="11"/>
      <c r="B385" s="11"/>
    </row>
    <row r="386" spans="1:2" s="8" customFormat="1" x14ac:dyDescent="0.25">
      <c r="A386" s="10"/>
      <c r="B386" s="10"/>
    </row>
    <row r="387" spans="1:2" x14ac:dyDescent="0.25">
      <c r="A387" s="11"/>
      <c r="B387" s="11"/>
    </row>
    <row r="388" spans="1:2" s="8" customFormat="1" x14ac:dyDescent="0.25">
      <c r="A388" s="10"/>
      <c r="B388" s="10"/>
    </row>
    <row r="389" spans="1:2" x14ac:dyDescent="0.25">
      <c r="A389" s="11"/>
      <c r="B389" s="11"/>
    </row>
    <row r="390" spans="1:2" s="8" customFormat="1" x14ac:dyDescent="0.25">
      <c r="A390" s="10"/>
      <c r="B390" s="10"/>
    </row>
    <row r="391" spans="1:2" x14ac:dyDescent="0.25">
      <c r="A391" s="11"/>
      <c r="B391" s="11"/>
    </row>
    <row r="392" spans="1:2" s="8" customFormat="1" x14ac:dyDescent="0.25">
      <c r="A392" s="10"/>
      <c r="B392" s="10"/>
    </row>
    <row r="393" spans="1:2" x14ac:dyDescent="0.25">
      <c r="A393" s="11"/>
      <c r="B393" s="11"/>
    </row>
    <row r="394" spans="1:2" s="8" customFormat="1" x14ac:dyDescent="0.25">
      <c r="A394" s="10"/>
      <c r="B394" s="10"/>
    </row>
    <row r="395" spans="1:2" x14ac:dyDescent="0.25">
      <c r="A395" s="11"/>
      <c r="B395" s="11"/>
    </row>
    <row r="396" spans="1:2" s="8" customFormat="1" x14ac:dyDescent="0.25">
      <c r="A396" s="10"/>
      <c r="B396" s="10"/>
    </row>
    <row r="397" spans="1:2" x14ac:dyDescent="0.25">
      <c r="A397" s="11"/>
      <c r="B397" s="11"/>
    </row>
    <row r="398" spans="1:2" s="8" customFormat="1" x14ac:dyDescent="0.25">
      <c r="A398" s="10"/>
      <c r="B398" s="10"/>
    </row>
    <row r="399" spans="1:2" x14ac:dyDescent="0.25">
      <c r="A399" s="11"/>
      <c r="B399" s="11"/>
    </row>
    <row r="400" spans="1:2" s="8" customFormat="1" x14ac:dyDescent="0.25">
      <c r="A400" s="10"/>
      <c r="B400" s="10"/>
    </row>
    <row r="401" spans="1:2" x14ac:dyDescent="0.25">
      <c r="A401" s="11"/>
      <c r="B401" s="11"/>
    </row>
    <row r="402" spans="1:2" s="8" customFormat="1" x14ac:dyDescent="0.25">
      <c r="A402" s="10"/>
      <c r="B402" s="10"/>
    </row>
    <row r="403" spans="1:2" x14ac:dyDescent="0.25">
      <c r="A403" s="11"/>
      <c r="B403" s="11"/>
    </row>
    <row r="404" spans="1:2" s="8" customFormat="1" x14ac:dyDescent="0.25">
      <c r="A404" s="10"/>
      <c r="B404" s="10"/>
    </row>
    <row r="405" spans="1:2" x14ac:dyDescent="0.25">
      <c r="A405" s="11"/>
      <c r="B405" s="11"/>
    </row>
    <row r="406" spans="1:2" s="8" customFormat="1" x14ac:dyDescent="0.25">
      <c r="A406" s="10"/>
      <c r="B406" s="10"/>
    </row>
    <row r="407" spans="1:2" x14ac:dyDescent="0.25">
      <c r="A407" s="11"/>
      <c r="B407" s="11"/>
    </row>
    <row r="408" spans="1:2" s="8" customFormat="1" x14ac:dyDescent="0.25">
      <c r="A408" s="10"/>
      <c r="B408" s="10"/>
    </row>
    <row r="409" spans="1:2" x14ac:dyDescent="0.25">
      <c r="A409" s="11"/>
      <c r="B409" s="11"/>
    </row>
    <row r="410" spans="1:2" s="8" customFormat="1" x14ac:dyDescent="0.25">
      <c r="A410" s="10"/>
      <c r="B410" s="10"/>
    </row>
    <row r="411" spans="1:2" x14ac:dyDescent="0.25">
      <c r="A411" s="11"/>
      <c r="B411" s="11"/>
    </row>
    <row r="412" spans="1:2" s="8" customFormat="1" x14ac:dyDescent="0.25">
      <c r="A412" s="10"/>
      <c r="B412" s="10"/>
    </row>
    <row r="413" spans="1:2" x14ac:dyDescent="0.25">
      <c r="A413" s="11"/>
      <c r="B413" s="11"/>
    </row>
    <row r="414" spans="1:2" s="8" customFormat="1" x14ac:dyDescent="0.25">
      <c r="A414" s="10"/>
      <c r="B414" s="10"/>
    </row>
    <row r="415" spans="1:2" x14ac:dyDescent="0.25">
      <c r="A415" s="11"/>
      <c r="B415" s="11"/>
    </row>
    <row r="416" spans="1:2" s="8" customFormat="1" x14ac:dyDescent="0.25">
      <c r="A416" s="10"/>
      <c r="B416" s="10"/>
    </row>
    <row r="417" spans="1:2" x14ac:dyDescent="0.25">
      <c r="A417" s="11"/>
      <c r="B417" s="11"/>
    </row>
    <row r="418" spans="1:2" s="8" customFormat="1" x14ac:dyDescent="0.25">
      <c r="A418" s="10"/>
      <c r="B418" s="10"/>
    </row>
    <row r="419" spans="1:2" x14ac:dyDescent="0.25">
      <c r="A419" s="11"/>
      <c r="B419" s="11"/>
    </row>
    <row r="420" spans="1:2" s="8" customFormat="1" x14ac:dyDescent="0.25">
      <c r="A420" s="10"/>
      <c r="B420" s="10"/>
    </row>
    <row r="421" spans="1:2" x14ac:dyDescent="0.25">
      <c r="A421" s="11"/>
      <c r="B421" s="11"/>
    </row>
    <row r="422" spans="1:2" s="8" customFormat="1" x14ac:dyDescent="0.25">
      <c r="A422" s="10"/>
      <c r="B422" s="10"/>
    </row>
    <row r="423" spans="1:2" x14ac:dyDescent="0.25">
      <c r="A423" s="11"/>
      <c r="B423" s="11"/>
    </row>
    <row r="424" spans="1:2" s="8" customFormat="1" x14ac:dyDescent="0.25">
      <c r="A424" s="10"/>
      <c r="B424" s="10"/>
    </row>
    <row r="425" spans="1:2" x14ac:dyDescent="0.25">
      <c r="A425" s="11"/>
      <c r="B425" s="11"/>
    </row>
    <row r="426" spans="1:2" s="8" customFormat="1" x14ac:dyDescent="0.25">
      <c r="A426" s="10"/>
      <c r="B426" s="10"/>
    </row>
    <row r="427" spans="1:2" x14ac:dyDescent="0.25">
      <c r="A427" s="11"/>
      <c r="B427" s="11"/>
    </row>
    <row r="428" spans="1:2" s="8" customFormat="1" x14ac:dyDescent="0.25">
      <c r="A428" s="10"/>
      <c r="B428" s="10"/>
    </row>
    <row r="429" spans="1:2" x14ac:dyDescent="0.25">
      <c r="A429" s="11"/>
      <c r="B429" s="11"/>
    </row>
    <row r="430" spans="1:2" s="8" customFormat="1" x14ac:dyDescent="0.25">
      <c r="A430" s="10"/>
      <c r="B430" s="10"/>
    </row>
    <row r="431" spans="1:2" x14ac:dyDescent="0.25">
      <c r="A431" s="11"/>
      <c r="B431" s="11"/>
    </row>
    <row r="432" spans="1:2" s="8" customFormat="1" x14ac:dyDescent="0.25">
      <c r="A432" s="10"/>
      <c r="B432" s="10"/>
    </row>
    <row r="433" spans="1:2" x14ac:dyDescent="0.25">
      <c r="A433" s="11"/>
      <c r="B433" s="11"/>
    </row>
    <row r="434" spans="1:2" s="8" customFormat="1" x14ac:dyDescent="0.25">
      <c r="A434" s="10"/>
      <c r="B434" s="10"/>
    </row>
    <row r="435" spans="1:2" x14ac:dyDescent="0.25">
      <c r="A435" s="11"/>
      <c r="B435" s="11"/>
    </row>
    <row r="436" spans="1:2" s="8" customFormat="1" x14ac:dyDescent="0.25">
      <c r="A436" s="10"/>
      <c r="B436" s="10"/>
    </row>
    <row r="437" spans="1:2" x14ac:dyDescent="0.25">
      <c r="A437" s="11"/>
      <c r="B437" s="11"/>
    </row>
    <row r="438" spans="1:2" s="8" customFormat="1" x14ac:dyDescent="0.25">
      <c r="A438" s="10"/>
      <c r="B438" s="10"/>
    </row>
    <row r="439" spans="1:2" x14ac:dyDescent="0.25">
      <c r="A439" s="11"/>
      <c r="B439" s="11"/>
    </row>
    <row r="440" spans="1:2" s="8" customFormat="1" x14ac:dyDescent="0.25">
      <c r="A440" s="10"/>
      <c r="B440" s="10"/>
    </row>
    <row r="441" spans="1:2" x14ac:dyDescent="0.25">
      <c r="A441" s="11"/>
      <c r="B441" s="11"/>
    </row>
    <row r="442" spans="1:2" s="8" customFormat="1" x14ac:dyDescent="0.25">
      <c r="A442" s="10"/>
      <c r="B442" s="10"/>
    </row>
    <row r="443" spans="1:2" x14ac:dyDescent="0.25">
      <c r="A443" s="11"/>
      <c r="B443" s="11"/>
    </row>
    <row r="444" spans="1:2" s="8" customFormat="1" x14ac:dyDescent="0.25">
      <c r="A444" s="10"/>
      <c r="B444" s="10"/>
    </row>
    <row r="445" spans="1:2" x14ac:dyDescent="0.25">
      <c r="A445" s="11"/>
      <c r="B445" s="11"/>
    </row>
    <row r="446" spans="1:2" s="8" customFormat="1" x14ac:dyDescent="0.25">
      <c r="A446" s="10"/>
      <c r="B446" s="10"/>
    </row>
    <row r="447" spans="1:2" x14ac:dyDescent="0.25">
      <c r="A447" s="11"/>
      <c r="B447" s="11"/>
    </row>
    <row r="448" spans="1:2" s="8" customFormat="1" x14ac:dyDescent="0.25">
      <c r="A448" s="10"/>
      <c r="B448" s="10"/>
    </row>
    <row r="449" spans="1:2" x14ac:dyDescent="0.25">
      <c r="A449" s="11"/>
      <c r="B449" s="11"/>
    </row>
    <row r="450" spans="1:2" s="8" customFormat="1" x14ac:dyDescent="0.25">
      <c r="A450" s="10"/>
      <c r="B450" s="10"/>
    </row>
    <row r="451" spans="1:2" x14ac:dyDescent="0.25">
      <c r="A451" s="11"/>
      <c r="B451" s="11"/>
    </row>
    <row r="452" spans="1:2" s="8" customFormat="1" x14ac:dyDescent="0.25">
      <c r="A452" s="10"/>
      <c r="B452" s="10"/>
    </row>
    <row r="453" spans="1:2" x14ac:dyDescent="0.25">
      <c r="A453" s="11"/>
      <c r="B453" s="11"/>
    </row>
    <row r="454" spans="1:2" s="8" customFormat="1" x14ac:dyDescent="0.25">
      <c r="A454" s="10"/>
      <c r="B454" s="10"/>
    </row>
    <row r="455" spans="1:2" x14ac:dyDescent="0.25">
      <c r="A455" s="11"/>
      <c r="B455" s="11"/>
    </row>
    <row r="456" spans="1:2" s="8" customFormat="1" x14ac:dyDescent="0.25">
      <c r="A456" s="10"/>
      <c r="B456" s="10"/>
    </row>
    <row r="457" spans="1:2" x14ac:dyDescent="0.25">
      <c r="A457" s="11"/>
      <c r="B457" s="11"/>
    </row>
    <row r="458" spans="1:2" s="8" customFormat="1" x14ac:dyDescent="0.25">
      <c r="A458" s="10"/>
      <c r="B458" s="10"/>
    </row>
    <row r="459" spans="1:2" x14ac:dyDescent="0.25">
      <c r="A459" s="11"/>
      <c r="B459" s="11"/>
    </row>
    <row r="460" spans="1:2" s="8" customFormat="1" x14ac:dyDescent="0.25">
      <c r="A460" s="10"/>
      <c r="B460" s="10"/>
    </row>
    <row r="461" spans="1:2" x14ac:dyDescent="0.25">
      <c r="A461" s="11"/>
      <c r="B461" s="11"/>
    </row>
    <row r="462" spans="1:2" s="8" customFormat="1" x14ac:dyDescent="0.25">
      <c r="A462" s="10"/>
      <c r="B462" s="10"/>
    </row>
    <row r="463" spans="1:2" x14ac:dyDescent="0.25">
      <c r="A463" s="11"/>
      <c r="B463" s="11"/>
    </row>
    <row r="464" spans="1:2" s="8" customFormat="1" x14ac:dyDescent="0.25">
      <c r="A464" s="10"/>
      <c r="B464" s="10"/>
    </row>
    <row r="465" spans="1:2" x14ac:dyDescent="0.25">
      <c r="A465" s="11"/>
      <c r="B465" s="11"/>
    </row>
    <row r="466" spans="1:2" s="8" customFormat="1" x14ac:dyDescent="0.25">
      <c r="A466" s="10"/>
      <c r="B466" s="10"/>
    </row>
    <row r="467" spans="1:2" x14ac:dyDescent="0.25">
      <c r="A467" s="11"/>
      <c r="B467" s="11"/>
    </row>
    <row r="468" spans="1:2" s="8" customFormat="1" x14ac:dyDescent="0.25">
      <c r="A468" s="10"/>
      <c r="B468" s="10"/>
    </row>
    <row r="469" spans="1:2" x14ac:dyDescent="0.25">
      <c r="A469" s="11"/>
      <c r="B469" s="11"/>
    </row>
    <row r="470" spans="1:2" s="8" customFormat="1" x14ac:dyDescent="0.25">
      <c r="A470" s="10"/>
      <c r="B470" s="10"/>
    </row>
    <row r="471" spans="1:2" x14ac:dyDescent="0.25">
      <c r="A471" s="11"/>
      <c r="B471" s="11"/>
    </row>
    <row r="472" spans="1:2" s="8" customFormat="1" x14ac:dyDescent="0.25">
      <c r="A472" s="10"/>
      <c r="B472" s="10"/>
    </row>
    <row r="473" spans="1:2" x14ac:dyDescent="0.25">
      <c r="A473" s="11"/>
      <c r="B473" s="11"/>
    </row>
    <row r="474" spans="1:2" s="8" customFormat="1" x14ac:dyDescent="0.25">
      <c r="A474" s="10"/>
      <c r="B474" s="10"/>
    </row>
    <row r="475" spans="1:2" x14ac:dyDescent="0.25">
      <c r="A475" s="11"/>
      <c r="B475" s="11"/>
    </row>
    <row r="476" spans="1:2" s="8" customFormat="1" x14ac:dyDescent="0.25">
      <c r="A476" s="10"/>
      <c r="B476" s="10"/>
    </row>
    <row r="477" spans="1:2" x14ac:dyDescent="0.25">
      <c r="A477" s="11"/>
      <c r="B477" s="11"/>
    </row>
    <row r="478" spans="1:2" s="8" customFormat="1" x14ac:dyDescent="0.25">
      <c r="A478" s="10"/>
      <c r="B478" s="10"/>
    </row>
    <row r="479" spans="1:2" x14ac:dyDescent="0.25">
      <c r="A479" s="11"/>
      <c r="B479" s="11"/>
    </row>
    <row r="480" spans="1:2" s="8" customFormat="1" x14ac:dyDescent="0.25">
      <c r="A480" s="10"/>
      <c r="B480" s="10"/>
    </row>
    <row r="481" spans="1:2" x14ac:dyDescent="0.25">
      <c r="A481" s="11"/>
      <c r="B481" s="11"/>
    </row>
    <row r="482" spans="1:2" s="8" customFormat="1" x14ac:dyDescent="0.25">
      <c r="A482" s="10"/>
      <c r="B482" s="10"/>
    </row>
    <row r="483" spans="1:2" x14ac:dyDescent="0.25">
      <c r="A483" s="11"/>
      <c r="B483" s="11"/>
    </row>
    <row r="484" spans="1:2" s="8" customFormat="1" x14ac:dyDescent="0.25">
      <c r="A484" s="10"/>
      <c r="B484" s="10"/>
    </row>
    <row r="485" spans="1:2" x14ac:dyDescent="0.25">
      <c r="A485" s="11"/>
      <c r="B485" s="11"/>
    </row>
    <row r="486" spans="1:2" s="8" customFormat="1" x14ac:dyDescent="0.25">
      <c r="A486" s="10"/>
      <c r="B486" s="10"/>
    </row>
    <row r="487" spans="1:2" x14ac:dyDescent="0.25">
      <c r="A487" s="11"/>
      <c r="B487" s="11"/>
    </row>
    <row r="488" spans="1:2" s="8" customFormat="1" x14ac:dyDescent="0.25">
      <c r="A488" s="10"/>
      <c r="B488" s="10"/>
    </row>
    <row r="489" spans="1:2" x14ac:dyDescent="0.25">
      <c r="A489" s="11"/>
      <c r="B489" s="11"/>
    </row>
    <row r="490" spans="1:2" s="8" customFormat="1" x14ac:dyDescent="0.25">
      <c r="A490" s="10"/>
      <c r="B490" s="10"/>
    </row>
    <row r="491" spans="1:2" x14ac:dyDescent="0.25">
      <c r="A491" s="11"/>
      <c r="B491" s="11"/>
    </row>
    <row r="492" spans="1:2" s="8" customFormat="1" x14ac:dyDescent="0.25">
      <c r="A492" s="10"/>
      <c r="B492" s="10"/>
    </row>
    <row r="493" spans="1:2" x14ac:dyDescent="0.25">
      <c r="A493" s="11"/>
      <c r="B493" s="11"/>
    </row>
    <row r="494" spans="1:2" s="8" customFormat="1" x14ac:dyDescent="0.25">
      <c r="A494" s="10"/>
      <c r="B494" s="10"/>
    </row>
    <row r="495" spans="1:2" x14ac:dyDescent="0.25">
      <c r="A495" s="11"/>
      <c r="B495" s="11"/>
    </row>
    <row r="496" spans="1:2" s="8" customFormat="1" x14ac:dyDescent="0.25">
      <c r="A496" s="10"/>
      <c r="B496" s="10"/>
    </row>
    <row r="497" spans="1:2" x14ac:dyDescent="0.25">
      <c r="A497" s="11"/>
      <c r="B497" s="11"/>
    </row>
    <row r="498" spans="1:2" s="8" customFormat="1" x14ac:dyDescent="0.25">
      <c r="A498" s="10"/>
      <c r="B498" s="10"/>
    </row>
    <row r="499" spans="1:2" x14ac:dyDescent="0.25">
      <c r="A499" s="11"/>
      <c r="B499" s="11"/>
    </row>
    <row r="500" spans="1:2" s="8" customFormat="1" x14ac:dyDescent="0.25">
      <c r="A500" s="10"/>
      <c r="B500" s="10"/>
    </row>
    <row r="501" spans="1:2" x14ac:dyDescent="0.25">
      <c r="A501" s="11"/>
      <c r="B501" s="11"/>
    </row>
    <row r="502" spans="1:2" s="8" customFormat="1" x14ac:dyDescent="0.25">
      <c r="A502" s="10"/>
      <c r="B502" s="10"/>
    </row>
    <row r="503" spans="1:2" x14ac:dyDescent="0.25">
      <c r="A503" s="11"/>
      <c r="B503" s="11"/>
    </row>
    <row r="504" spans="1:2" s="8" customFormat="1" x14ac:dyDescent="0.25">
      <c r="A504" s="10"/>
      <c r="B504" s="10"/>
    </row>
    <row r="505" spans="1:2" x14ac:dyDescent="0.25">
      <c r="A505" s="11"/>
      <c r="B505" s="11"/>
    </row>
    <row r="506" spans="1:2" s="8" customFormat="1" x14ac:dyDescent="0.25">
      <c r="A506" s="10"/>
      <c r="B506" s="10"/>
    </row>
    <row r="507" spans="1:2" x14ac:dyDescent="0.25">
      <c r="A507" s="11"/>
      <c r="B507" s="11"/>
    </row>
    <row r="508" spans="1:2" s="8" customFormat="1" x14ac:dyDescent="0.25">
      <c r="A508" s="10"/>
      <c r="B508" s="10"/>
    </row>
    <row r="509" spans="1:2" x14ac:dyDescent="0.25">
      <c r="A509" s="11"/>
      <c r="B509" s="11"/>
    </row>
    <row r="510" spans="1:2" s="8" customFormat="1" x14ac:dyDescent="0.25">
      <c r="A510" s="10"/>
      <c r="B510" s="10"/>
    </row>
    <row r="511" spans="1:2" x14ac:dyDescent="0.25">
      <c r="A511" s="11"/>
      <c r="B511" s="11"/>
    </row>
    <row r="512" spans="1:2" s="8" customFormat="1" x14ac:dyDescent="0.25">
      <c r="A512" s="10"/>
      <c r="B512" s="10"/>
    </row>
    <row r="513" spans="1:2" x14ac:dyDescent="0.25">
      <c r="A513" s="11"/>
      <c r="B513" s="11"/>
    </row>
    <row r="514" spans="1:2" s="8" customFormat="1" x14ac:dyDescent="0.25">
      <c r="A514" s="10"/>
      <c r="B514" s="10"/>
    </row>
    <row r="515" spans="1:2" x14ac:dyDescent="0.25">
      <c r="A515" s="11"/>
      <c r="B515" s="11"/>
    </row>
    <row r="516" spans="1:2" s="8" customFormat="1" x14ac:dyDescent="0.25">
      <c r="A516" s="10"/>
      <c r="B516" s="10"/>
    </row>
    <row r="517" spans="1:2" x14ac:dyDescent="0.25">
      <c r="A517" s="11"/>
      <c r="B517" s="11"/>
    </row>
    <row r="518" spans="1:2" s="8" customFormat="1" x14ac:dyDescent="0.25">
      <c r="A518" s="10"/>
      <c r="B518" s="10"/>
    </row>
    <row r="519" spans="1:2" x14ac:dyDescent="0.25">
      <c r="A519" s="11"/>
      <c r="B519" s="11"/>
    </row>
    <row r="520" spans="1:2" s="8" customFormat="1" x14ac:dyDescent="0.25">
      <c r="A520" s="10"/>
      <c r="B520" s="10"/>
    </row>
    <row r="521" spans="1:2" x14ac:dyDescent="0.25">
      <c r="A521" s="11"/>
      <c r="B521" s="11"/>
    </row>
    <row r="522" spans="1:2" s="8" customFormat="1" x14ac:dyDescent="0.25">
      <c r="A522" s="10"/>
      <c r="B522" s="10"/>
    </row>
    <row r="523" spans="1:2" x14ac:dyDescent="0.25">
      <c r="A523" s="11"/>
      <c r="B523" s="11"/>
    </row>
    <row r="524" spans="1:2" s="8" customFormat="1" x14ac:dyDescent="0.25">
      <c r="A524" s="10"/>
      <c r="B524" s="10"/>
    </row>
    <row r="525" spans="1:2" x14ac:dyDescent="0.25">
      <c r="A525" s="11"/>
      <c r="B525" s="11"/>
    </row>
    <row r="526" spans="1:2" s="8" customFormat="1" x14ac:dyDescent="0.25">
      <c r="A526" s="10"/>
      <c r="B526" s="10"/>
    </row>
    <row r="527" spans="1:2" x14ac:dyDescent="0.25">
      <c r="A527" s="11"/>
      <c r="B527" s="11"/>
    </row>
    <row r="528" spans="1:2" s="8" customFormat="1" x14ac:dyDescent="0.25">
      <c r="A528" s="10"/>
      <c r="B528" s="10"/>
    </row>
    <row r="529" spans="1:2" x14ac:dyDescent="0.25">
      <c r="A529" s="11"/>
      <c r="B529" s="11"/>
    </row>
    <row r="530" spans="1:2" s="8" customFormat="1" x14ac:dyDescent="0.25">
      <c r="A530" s="10"/>
      <c r="B530" s="10"/>
    </row>
    <row r="531" spans="1:2" x14ac:dyDescent="0.25">
      <c r="A531" s="11"/>
      <c r="B531" s="11"/>
    </row>
    <row r="532" spans="1:2" s="8" customFormat="1" x14ac:dyDescent="0.25">
      <c r="A532" s="10"/>
      <c r="B532" s="10"/>
    </row>
    <row r="533" spans="1:2" x14ac:dyDescent="0.25">
      <c r="A533" s="11"/>
      <c r="B533" s="11"/>
    </row>
    <row r="534" spans="1:2" s="8" customFormat="1" x14ac:dyDescent="0.25">
      <c r="A534" s="10"/>
      <c r="B534" s="10"/>
    </row>
    <row r="535" spans="1:2" x14ac:dyDescent="0.25">
      <c r="A535" s="11"/>
      <c r="B535" s="11"/>
    </row>
    <row r="536" spans="1:2" s="8" customFormat="1" x14ac:dyDescent="0.25">
      <c r="A536" s="10"/>
      <c r="B536" s="10"/>
    </row>
    <row r="537" spans="1:2" x14ac:dyDescent="0.25">
      <c r="A537" s="11"/>
      <c r="B537" s="11"/>
    </row>
    <row r="538" spans="1:2" s="8" customFormat="1" x14ac:dyDescent="0.25">
      <c r="A538" s="10"/>
      <c r="B538" s="10"/>
    </row>
    <row r="539" spans="1:2" x14ac:dyDescent="0.25">
      <c r="A539" s="11"/>
      <c r="B539" s="11"/>
    </row>
    <row r="540" spans="1:2" s="8" customFormat="1" x14ac:dyDescent="0.25">
      <c r="A540" s="10"/>
      <c r="B540" s="10"/>
    </row>
    <row r="541" spans="1:2" x14ac:dyDescent="0.25">
      <c r="A541" s="11"/>
      <c r="B541" s="11"/>
    </row>
    <row r="542" spans="1:2" s="8" customFormat="1" x14ac:dyDescent="0.25">
      <c r="A542" s="10"/>
      <c r="B542" s="10"/>
    </row>
    <row r="543" spans="1:2" x14ac:dyDescent="0.25">
      <c r="A543" s="11"/>
      <c r="B543" s="11"/>
    </row>
    <row r="544" spans="1:2" s="8" customFormat="1" x14ac:dyDescent="0.25">
      <c r="A544" s="10"/>
      <c r="B544" s="10"/>
    </row>
    <row r="545" spans="1:2" x14ac:dyDescent="0.25">
      <c r="A545" s="11"/>
      <c r="B545" s="11"/>
    </row>
    <row r="546" spans="1:2" s="8" customFormat="1" x14ac:dyDescent="0.25">
      <c r="A546" s="10"/>
      <c r="B546" s="10"/>
    </row>
    <row r="547" spans="1:2" x14ac:dyDescent="0.25">
      <c r="A547" s="11"/>
      <c r="B547" s="11"/>
    </row>
    <row r="548" spans="1:2" s="8" customFormat="1" x14ac:dyDescent="0.25">
      <c r="A548" s="10"/>
      <c r="B548" s="10"/>
    </row>
    <row r="549" spans="1:2" x14ac:dyDescent="0.25">
      <c r="A549" s="11"/>
      <c r="B549" s="11"/>
    </row>
    <row r="550" spans="1:2" s="8" customFormat="1" x14ac:dyDescent="0.25">
      <c r="A550" s="10"/>
      <c r="B550" s="10"/>
    </row>
    <row r="551" spans="1:2" x14ac:dyDescent="0.25">
      <c r="A551" s="11"/>
      <c r="B551" s="11"/>
    </row>
    <row r="552" spans="1:2" s="8" customFormat="1" x14ac:dyDescent="0.25">
      <c r="A552" s="10"/>
      <c r="B552" s="10"/>
    </row>
    <row r="553" spans="1:2" x14ac:dyDescent="0.25">
      <c r="A553" s="11"/>
      <c r="B553" s="11"/>
    </row>
    <row r="554" spans="1:2" s="8" customFormat="1" x14ac:dyDescent="0.25">
      <c r="A554" s="10"/>
      <c r="B554" s="10"/>
    </row>
    <row r="555" spans="1:2" x14ac:dyDescent="0.25">
      <c r="A555" s="11"/>
      <c r="B555" s="11"/>
    </row>
    <row r="556" spans="1:2" s="8" customFormat="1" x14ac:dyDescent="0.25">
      <c r="A556" s="10"/>
      <c r="B556" s="10"/>
    </row>
    <row r="557" spans="1:2" x14ac:dyDescent="0.25">
      <c r="A557" s="11"/>
      <c r="B557" s="11"/>
    </row>
    <row r="558" spans="1:2" s="8" customFormat="1" x14ac:dyDescent="0.25">
      <c r="A558" s="10"/>
      <c r="B558" s="10"/>
    </row>
    <row r="559" spans="1:2" x14ac:dyDescent="0.25">
      <c r="A559" s="11"/>
      <c r="B559" s="11"/>
    </row>
    <row r="560" spans="1:2" s="8" customFormat="1" x14ac:dyDescent="0.25">
      <c r="A560" s="10"/>
      <c r="B560" s="10"/>
    </row>
    <row r="561" spans="1:2" x14ac:dyDescent="0.25">
      <c r="A561" s="11"/>
      <c r="B561" s="11"/>
    </row>
    <row r="562" spans="1:2" s="8" customFormat="1" x14ac:dyDescent="0.25">
      <c r="A562" s="10"/>
      <c r="B562" s="10"/>
    </row>
    <row r="563" spans="1:2" x14ac:dyDescent="0.25">
      <c r="A563" s="11"/>
      <c r="B563" s="11"/>
    </row>
    <row r="564" spans="1:2" s="8" customFormat="1" x14ac:dyDescent="0.25">
      <c r="A564" s="10"/>
      <c r="B564" s="10"/>
    </row>
    <row r="565" spans="1:2" x14ac:dyDescent="0.25">
      <c r="A565" s="11"/>
      <c r="B565" s="11"/>
    </row>
    <row r="566" spans="1:2" s="8" customFormat="1" x14ac:dyDescent="0.25">
      <c r="A566" s="10"/>
      <c r="B566" s="10"/>
    </row>
    <row r="567" spans="1:2" x14ac:dyDescent="0.25">
      <c r="A567" s="11"/>
      <c r="B567" s="11"/>
    </row>
    <row r="568" spans="1:2" s="8" customFormat="1" x14ac:dyDescent="0.25">
      <c r="A568" s="10"/>
      <c r="B568" s="10"/>
    </row>
    <row r="569" spans="1:2" x14ac:dyDescent="0.25">
      <c r="A569" s="11"/>
      <c r="B569" s="11"/>
    </row>
    <row r="570" spans="1:2" s="8" customFormat="1" x14ac:dyDescent="0.25">
      <c r="A570" s="10"/>
      <c r="B570" s="10"/>
    </row>
    <row r="571" spans="1:2" x14ac:dyDescent="0.25">
      <c r="A571" s="11"/>
      <c r="B571" s="11"/>
    </row>
    <row r="572" spans="1:2" s="8" customFormat="1" x14ac:dyDescent="0.25">
      <c r="A572" s="10"/>
      <c r="B572" s="10"/>
    </row>
    <row r="573" spans="1:2" x14ac:dyDescent="0.25">
      <c r="A573" s="11"/>
      <c r="B573" s="11"/>
    </row>
    <row r="574" spans="1:2" s="8" customFormat="1" x14ac:dyDescent="0.25">
      <c r="A574" s="10"/>
      <c r="B574" s="10"/>
    </row>
    <row r="575" spans="1:2" x14ac:dyDescent="0.25">
      <c r="A575" s="11"/>
      <c r="B575" s="11"/>
    </row>
    <row r="576" spans="1:2" s="8" customFormat="1" x14ac:dyDescent="0.25">
      <c r="A576" s="10"/>
      <c r="B576" s="10"/>
    </row>
    <row r="577" spans="1:2" x14ac:dyDescent="0.25">
      <c r="A577" s="11"/>
      <c r="B577" s="11"/>
    </row>
    <row r="578" spans="1:2" s="8" customFormat="1" x14ac:dyDescent="0.25">
      <c r="A578" s="10"/>
      <c r="B578" s="10"/>
    </row>
    <row r="579" spans="1:2" x14ac:dyDescent="0.25">
      <c r="A579" s="11"/>
      <c r="B579" s="11"/>
    </row>
    <row r="580" spans="1:2" s="8" customFormat="1" x14ac:dyDescent="0.25">
      <c r="A580" s="10"/>
      <c r="B580" s="10"/>
    </row>
    <row r="581" spans="1:2" x14ac:dyDescent="0.25">
      <c r="A581" s="11"/>
      <c r="B581" s="11"/>
    </row>
    <row r="582" spans="1:2" s="8" customFormat="1" x14ac:dyDescent="0.25">
      <c r="A582" s="10"/>
      <c r="B582" s="10"/>
    </row>
    <row r="583" spans="1:2" x14ac:dyDescent="0.25">
      <c r="A583" s="11"/>
      <c r="B583" s="11"/>
    </row>
    <row r="584" spans="1:2" s="8" customFormat="1" x14ac:dyDescent="0.25">
      <c r="A584" s="10"/>
      <c r="B584" s="10"/>
    </row>
    <row r="585" spans="1:2" x14ac:dyDescent="0.25">
      <c r="A585" s="11"/>
      <c r="B585" s="11"/>
    </row>
    <row r="586" spans="1:2" s="8" customFormat="1" x14ac:dyDescent="0.25">
      <c r="A586" s="10"/>
      <c r="B586" s="10"/>
    </row>
    <row r="587" spans="1:2" x14ac:dyDescent="0.25">
      <c r="A587" s="11"/>
      <c r="B587" s="11"/>
    </row>
    <row r="588" spans="1:2" s="8" customFormat="1" x14ac:dyDescent="0.25">
      <c r="A588" s="10"/>
      <c r="B588" s="10"/>
    </row>
    <row r="589" spans="1:2" x14ac:dyDescent="0.25">
      <c r="A589" s="11"/>
      <c r="B589" s="11"/>
    </row>
    <row r="590" spans="1:2" s="8" customFormat="1" x14ac:dyDescent="0.25">
      <c r="A590" s="10"/>
      <c r="B590" s="10"/>
    </row>
    <row r="591" spans="1:2" x14ac:dyDescent="0.25">
      <c r="A591" s="11"/>
      <c r="B591" s="11"/>
    </row>
    <row r="592" spans="1:2" s="8" customFormat="1" x14ac:dyDescent="0.25">
      <c r="A592" s="10"/>
      <c r="B592" s="10"/>
    </row>
    <row r="593" spans="1:2" x14ac:dyDescent="0.25">
      <c r="A593" s="11"/>
      <c r="B593" s="11"/>
    </row>
    <row r="594" spans="1:2" s="8" customFormat="1" x14ac:dyDescent="0.25">
      <c r="A594" s="10"/>
      <c r="B594" s="10"/>
    </row>
    <row r="595" spans="1:2" x14ac:dyDescent="0.25">
      <c r="A595" s="11"/>
      <c r="B595" s="11"/>
    </row>
    <row r="596" spans="1:2" s="8" customFormat="1" x14ac:dyDescent="0.25">
      <c r="A596" s="10"/>
      <c r="B596" s="10"/>
    </row>
    <row r="597" spans="1:2" x14ac:dyDescent="0.25">
      <c r="A597" s="11"/>
      <c r="B597" s="11"/>
    </row>
    <row r="598" spans="1:2" s="8" customFormat="1" x14ac:dyDescent="0.25">
      <c r="A598" s="10"/>
      <c r="B598" s="10"/>
    </row>
    <row r="599" spans="1:2" x14ac:dyDescent="0.25">
      <c r="A599" s="11"/>
      <c r="B599" s="11"/>
    </row>
    <row r="600" spans="1:2" s="8" customFormat="1" x14ac:dyDescent="0.25">
      <c r="A600" s="10"/>
      <c r="B600" s="10"/>
    </row>
    <row r="601" spans="1:2" x14ac:dyDescent="0.25">
      <c r="A601" s="11"/>
      <c r="B601" s="11"/>
    </row>
    <row r="602" spans="1:2" s="8" customFormat="1" x14ac:dyDescent="0.25">
      <c r="A602" s="10"/>
      <c r="B602" s="10"/>
    </row>
    <row r="603" spans="1:2" x14ac:dyDescent="0.25">
      <c r="A603" s="11"/>
      <c r="B603" s="11"/>
    </row>
    <row r="604" spans="1:2" s="8" customFormat="1" x14ac:dyDescent="0.25">
      <c r="A604" s="10"/>
      <c r="B604" s="10"/>
    </row>
    <row r="605" spans="1:2" x14ac:dyDescent="0.25">
      <c r="A605" s="11"/>
      <c r="B605" s="11"/>
    </row>
    <row r="606" spans="1:2" s="8" customFormat="1" x14ac:dyDescent="0.25">
      <c r="A606" s="10"/>
      <c r="B606" s="10"/>
    </row>
    <row r="607" spans="1:2" x14ac:dyDescent="0.25">
      <c r="A607" s="11"/>
      <c r="B607" s="11"/>
    </row>
    <row r="608" spans="1:2" s="8" customFormat="1" x14ac:dyDescent="0.25">
      <c r="A608" s="10"/>
      <c r="B608" s="10"/>
    </row>
    <row r="609" spans="1:2" x14ac:dyDescent="0.25">
      <c r="A609" s="11"/>
      <c r="B609" s="11"/>
    </row>
    <row r="610" spans="1:2" s="8" customFormat="1" x14ac:dyDescent="0.25">
      <c r="A610" s="10"/>
      <c r="B610" s="10"/>
    </row>
    <row r="611" spans="1:2" x14ac:dyDescent="0.25">
      <c r="A611" s="11"/>
      <c r="B611" s="11"/>
    </row>
    <row r="612" spans="1:2" s="8" customFormat="1" x14ac:dyDescent="0.25">
      <c r="A612" s="10"/>
      <c r="B612" s="10"/>
    </row>
    <row r="613" spans="1:2" x14ac:dyDescent="0.25">
      <c r="A613" s="11"/>
      <c r="B613" s="11"/>
    </row>
    <row r="614" spans="1:2" s="8" customFormat="1" x14ac:dyDescent="0.25">
      <c r="A614" s="10"/>
      <c r="B614" s="10"/>
    </row>
    <row r="615" spans="1:2" x14ac:dyDescent="0.25">
      <c r="A615" s="11"/>
      <c r="B615" s="11"/>
    </row>
    <row r="616" spans="1:2" s="8" customFormat="1" x14ac:dyDescent="0.25">
      <c r="A616" s="10"/>
      <c r="B616" s="10"/>
    </row>
    <row r="617" spans="1:2" x14ac:dyDescent="0.25">
      <c r="A617" s="11"/>
      <c r="B617" s="11"/>
    </row>
    <row r="618" spans="1:2" s="8" customFormat="1" x14ac:dyDescent="0.25">
      <c r="A618" s="10"/>
      <c r="B618" s="10"/>
    </row>
    <row r="619" spans="1:2" x14ac:dyDescent="0.25">
      <c r="A619" s="11"/>
      <c r="B619" s="11"/>
    </row>
    <row r="620" spans="1:2" s="8" customFormat="1" x14ac:dyDescent="0.25">
      <c r="A620" s="10"/>
      <c r="B620" s="10"/>
    </row>
    <row r="621" spans="1:2" x14ac:dyDescent="0.25">
      <c r="A621" s="11"/>
      <c r="B621" s="11"/>
    </row>
    <row r="622" spans="1:2" s="8" customFormat="1" x14ac:dyDescent="0.25">
      <c r="A622" s="10"/>
      <c r="B622" s="10"/>
    </row>
    <row r="623" spans="1:2" x14ac:dyDescent="0.25">
      <c r="A623" s="11"/>
      <c r="B623" s="11"/>
    </row>
    <row r="624" spans="1:2" s="8" customFormat="1" x14ac:dyDescent="0.25">
      <c r="A624" s="10"/>
      <c r="B624" s="10"/>
    </row>
    <row r="625" spans="1:2" x14ac:dyDescent="0.25">
      <c r="A625" s="11"/>
      <c r="B625" s="11"/>
    </row>
    <row r="626" spans="1:2" s="8" customFormat="1" x14ac:dyDescent="0.25">
      <c r="A626" s="10"/>
      <c r="B626" s="10"/>
    </row>
    <row r="627" spans="1:2" x14ac:dyDescent="0.25">
      <c r="A627" s="11"/>
      <c r="B627" s="11"/>
    </row>
    <row r="628" spans="1:2" s="8" customFormat="1" x14ac:dyDescent="0.25">
      <c r="A628" s="10"/>
      <c r="B628" s="10"/>
    </row>
    <row r="629" spans="1:2" x14ac:dyDescent="0.25">
      <c r="A629" s="11"/>
      <c r="B629" s="11"/>
    </row>
    <row r="630" spans="1:2" s="8" customFormat="1" x14ac:dyDescent="0.25">
      <c r="A630" s="10"/>
      <c r="B630" s="10"/>
    </row>
    <row r="631" spans="1:2" x14ac:dyDescent="0.25">
      <c r="A631" s="11"/>
      <c r="B631" s="11"/>
    </row>
    <row r="632" spans="1:2" s="8" customFormat="1" x14ac:dyDescent="0.25">
      <c r="A632" s="10"/>
      <c r="B632" s="10"/>
    </row>
    <row r="633" spans="1:2" x14ac:dyDescent="0.25">
      <c r="A633" s="11"/>
      <c r="B633" s="11"/>
    </row>
    <row r="634" spans="1:2" s="8" customFormat="1" x14ac:dyDescent="0.25">
      <c r="A634" s="10"/>
      <c r="B634" s="10"/>
    </row>
    <row r="635" spans="1:2" x14ac:dyDescent="0.25">
      <c r="A635" s="11"/>
      <c r="B635" s="11"/>
    </row>
    <row r="636" spans="1:2" s="8" customFormat="1" x14ac:dyDescent="0.25">
      <c r="A636" s="10"/>
      <c r="B636" s="10"/>
    </row>
    <row r="637" spans="1:2" x14ac:dyDescent="0.25">
      <c r="A637" s="11"/>
      <c r="B637" s="11"/>
    </row>
    <row r="638" spans="1:2" s="8" customFormat="1" x14ac:dyDescent="0.25">
      <c r="A638" s="10"/>
      <c r="B638" s="10"/>
    </row>
    <row r="639" spans="1:2" x14ac:dyDescent="0.25">
      <c r="A639" s="11"/>
      <c r="B639" s="11"/>
    </row>
    <row r="640" spans="1:2" s="8" customFormat="1" x14ac:dyDescent="0.25">
      <c r="A640" s="10"/>
      <c r="B640" s="10"/>
    </row>
    <row r="641" spans="1:2" x14ac:dyDescent="0.25">
      <c r="A641" s="11"/>
      <c r="B641" s="11"/>
    </row>
    <row r="642" spans="1:2" s="8" customFormat="1" x14ac:dyDescent="0.25">
      <c r="A642" s="10"/>
      <c r="B642" s="10"/>
    </row>
    <row r="643" spans="1:2" x14ac:dyDescent="0.25">
      <c r="A643" s="11"/>
      <c r="B643" s="11"/>
    </row>
    <row r="644" spans="1:2" s="8" customFormat="1" x14ac:dyDescent="0.25">
      <c r="A644" s="10"/>
      <c r="B644" s="10"/>
    </row>
    <row r="645" spans="1:2" x14ac:dyDescent="0.25">
      <c r="A645" s="11"/>
      <c r="B645" s="11"/>
    </row>
    <row r="646" spans="1:2" s="8" customFormat="1" x14ac:dyDescent="0.25">
      <c r="A646" s="10"/>
      <c r="B646" s="10"/>
    </row>
    <row r="647" spans="1:2" x14ac:dyDescent="0.25">
      <c r="A647" s="11"/>
      <c r="B647" s="11"/>
    </row>
    <row r="648" spans="1:2" s="8" customFormat="1" x14ac:dyDescent="0.25">
      <c r="A648" s="10"/>
      <c r="B648" s="10"/>
    </row>
    <row r="649" spans="1:2" x14ac:dyDescent="0.25">
      <c r="A649" s="11"/>
      <c r="B649" s="11"/>
    </row>
    <row r="650" spans="1:2" s="8" customFormat="1" x14ac:dyDescent="0.25">
      <c r="A650" s="10"/>
      <c r="B650" s="10"/>
    </row>
    <row r="651" spans="1:2" x14ac:dyDescent="0.25">
      <c r="A651" s="11"/>
      <c r="B651" s="11"/>
    </row>
    <row r="652" spans="1:2" s="8" customFormat="1" x14ac:dyDescent="0.25">
      <c r="A652" s="10"/>
      <c r="B652" s="10"/>
    </row>
    <row r="653" spans="1:2" x14ac:dyDescent="0.25">
      <c r="A653" s="11"/>
      <c r="B653" s="11"/>
    </row>
    <row r="654" spans="1:2" s="8" customFormat="1" x14ac:dyDescent="0.25">
      <c r="A654" s="10"/>
      <c r="B654" s="10"/>
    </row>
    <row r="655" spans="1:2" x14ac:dyDescent="0.25">
      <c r="A655" s="11"/>
      <c r="B655" s="11"/>
    </row>
    <row r="656" spans="1:2" s="8" customFormat="1" x14ac:dyDescent="0.25">
      <c r="A656" s="10"/>
      <c r="B656" s="10"/>
    </row>
    <row r="657" spans="1:2" x14ac:dyDescent="0.25">
      <c r="A657" s="11"/>
      <c r="B657" s="11"/>
    </row>
    <row r="658" spans="1:2" s="8" customFormat="1" x14ac:dyDescent="0.25">
      <c r="A658" s="10"/>
      <c r="B658" s="10"/>
    </row>
    <row r="659" spans="1:2" x14ac:dyDescent="0.25">
      <c r="A659" s="11"/>
      <c r="B659" s="11"/>
    </row>
    <row r="660" spans="1:2" s="8" customFormat="1" x14ac:dyDescent="0.25">
      <c r="A660" s="10"/>
      <c r="B660" s="10"/>
    </row>
    <row r="661" spans="1:2" x14ac:dyDescent="0.25">
      <c r="A661" s="11"/>
      <c r="B661" s="11"/>
    </row>
    <row r="662" spans="1:2" s="8" customFormat="1" x14ac:dyDescent="0.25">
      <c r="A662" s="10"/>
      <c r="B662" s="10"/>
    </row>
    <row r="663" spans="1:2" x14ac:dyDescent="0.25">
      <c r="A663" s="11"/>
      <c r="B663" s="11"/>
    </row>
    <row r="664" spans="1:2" s="8" customFormat="1" x14ac:dyDescent="0.25">
      <c r="A664" s="10"/>
      <c r="B664" s="10"/>
    </row>
    <row r="665" spans="1:2" x14ac:dyDescent="0.25">
      <c r="A665" s="11"/>
      <c r="B665" s="11"/>
    </row>
    <row r="666" spans="1:2" s="8" customFormat="1" x14ac:dyDescent="0.25">
      <c r="A666" s="10"/>
      <c r="B666" s="10"/>
    </row>
    <row r="667" spans="1:2" x14ac:dyDescent="0.25">
      <c r="A667" s="11"/>
      <c r="B667" s="11"/>
    </row>
    <row r="668" spans="1:2" s="8" customFormat="1" x14ac:dyDescent="0.25">
      <c r="A668" s="10"/>
      <c r="B668" s="10"/>
    </row>
    <row r="669" spans="1:2" x14ac:dyDescent="0.25">
      <c r="A669" s="11"/>
      <c r="B669" s="11"/>
    </row>
    <row r="670" spans="1:2" s="8" customFormat="1" x14ac:dyDescent="0.25">
      <c r="A670" s="10"/>
      <c r="B670" s="10"/>
    </row>
    <row r="671" spans="1:2" x14ac:dyDescent="0.25">
      <c r="A671" s="11"/>
      <c r="B671" s="11"/>
    </row>
    <row r="672" spans="1:2" s="8" customFormat="1" x14ac:dyDescent="0.25">
      <c r="A672" s="10"/>
      <c r="B672" s="10"/>
    </row>
    <row r="673" spans="1:2" x14ac:dyDescent="0.25">
      <c r="A673" s="11"/>
      <c r="B673" s="11"/>
    </row>
    <row r="674" spans="1:2" s="8" customFormat="1" x14ac:dyDescent="0.25">
      <c r="A674" s="10"/>
      <c r="B674" s="10"/>
    </row>
    <row r="675" spans="1:2" x14ac:dyDescent="0.25">
      <c r="A675" s="11"/>
      <c r="B675" s="11"/>
    </row>
    <row r="676" spans="1:2" s="8" customFormat="1" x14ac:dyDescent="0.25">
      <c r="A676" s="10"/>
      <c r="B676" s="10"/>
    </row>
    <row r="677" spans="1:2" x14ac:dyDescent="0.25">
      <c r="A677" s="11"/>
      <c r="B677" s="11"/>
    </row>
    <row r="678" spans="1:2" s="8" customFormat="1" x14ac:dyDescent="0.25">
      <c r="A678" s="10"/>
      <c r="B678" s="10"/>
    </row>
    <row r="679" spans="1:2" x14ac:dyDescent="0.25">
      <c r="A679" s="11"/>
      <c r="B679" s="11"/>
    </row>
    <row r="680" spans="1:2" s="8" customFormat="1" x14ac:dyDescent="0.25">
      <c r="A680" s="10"/>
      <c r="B680" s="10"/>
    </row>
    <row r="681" spans="1:2" x14ac:dyDescent="0.25">
      <c r="A681" s="11"/>
      <c r="B681" s="11"/>
    </row>
    <row r="682" spans="1:2" s="8" customFormat="1" x14ac:dyDescent="0.25">
      <c r="A682" s="10"/>
      <c r="B682" s="10"/>
    </row>
    <row r="683" spans="1:2" x14ac:dyDescent="0.25">
      <c r="A683" s="11"/>
      <c r="B683" s="11"/>
    </row>
    <row r="684" spans="1:2" s="8" customFormat="1" x14ac:dyDescent="0.25">
      <c r="A684" s="10"/>
      <c r="B684" s="10"/>
    </row>
    <row r="685" spans="1:2" x14ac:dyDescent="0.25">
      <c r="A685" s="11"/>
      <c r="B685" s="11"/>
    </row>
    <row r="686" spans="1:2" s="8" customFormat="1" x14ac:dyDescent="0.25">
      <c r="A686" s="10"/>
      <c r="B686" s="10"/>
    </row>
    <row r="687" spans="1:2" x14ac:dyDescent="0.25">
      <c r="A687" s="11"/>
      <c r="B687" s="11"/>
    </row>
    <row r="688" spans="1:2" s="8" customFormat="1" x14ac:dyDescent="0.25">
      <c r="A688" s="10"/>
      <c r="B688" s="10"/>
    </row>
    <row r="689" spans="1:2" x14ac:dyDescent="0.25">
      <c r="A689" s="11"/>
      <c r="B689" s="11"/>
    </row>
    <row r="690" spans="1:2" s="8" customFormat="1" x14ac:dyDescent="0.25">
      <c r="A690" s="10"/>
      <c r="B690" s="10"/>
    </row>
    <row r="691" spans="1:2" x14ac:dyDescent="0.25">
      <c r="A691" s="11"/>
      <c r="B691" s="11"/>
    </row>
    <row r="692" spans="1:2" s="8" customFormat="1" x14ac:dyDescent="0.25">
      <c r="A692" s="10"/>
      <c r="B692" s="10"/>
    </row>
    <row r="693" spans="1:2" x14ac:dyDescent="0.25">
      <c r="A693" s="11"/>
      <c r="B693" s="11"/>
    </row>
    <row r="694" spans="1:2" s="8" customFormat="1" x14ac:dyDescent="0.25">
      <c r="A694" s="10"/>
      <c r="B694" s="10"/>
    </row>
    <row r="695" spans="1:2" x14ac:dyDescent="0.25">
      <c r="A695" s="11"/>
      <c r="B695" s="11"/>
    </row>
    <row r="696" spans="1:2" s="8" customFormat="1" x14ac:dyDescent="0.25">
      <c r="A696" s="10"/>
      <c r="B696" s="10"/>
    </row>
    <row r="697" spans="1:2" x14ac:dyDescent="0.25">
      <c r="A697" s="11"/>
      <c r="B697" s="11"/>
    </row>
    <row r="698" spans="1:2" s="8" customFormat="1" x14ac:dyDescent="0.25">
      <c r="A698" s="10"/>
      <c r="B698" s="10"/>
    </row>
    <row r="699" spans="1:2" x14ac:dyDescent="0.25">
      <c r="A699" s="11"/>
      <c r="B699" s="11"/>
    </row>
    <row r="700" spans="1:2" s="8" customFormat="1" x14ac:dyDescent="0.25">
      <c r="A700" s="10"/>
      <c r="B700" s="10"/>
    </row>
    <row r="701" spans="1:2" x14ac:dyDescent="0.25">
      <c r="A701" s="11"/>
      <c r="B701" s="11"/>
    </row>
    <row r="702" spans="1:2" s="8" customFormat="1" x14ac:dyDescent="0.25">
      <c r="A702" s="10"/>
      <c r="B702" s="10"/>
    </row>
    <row r="703" spans="1:2" x14ac:dyDescent="0.25">
      <c r="A703" s="11"/>
      <c r="B703" s="11"/>
    </row>
    <row r="704" spans="1:2" s="8" customFormat="1" x14ac:dyDescent="0.25">
      <c r="A704" s="10"/>
      <c r="B704" s="10"/>
    </row>
    <row r="705" spans="1:2" x14ac:dyDescent="0.25">
      <c r="A705" s="11"/>
      <c r="B705" s="11"/>
    </row>
    <row r="706" spans="1:2" s="8" customFormat="1" x14ac:dyDescent="0.25">
      <c r="A706" s="10"/>
      <c r="B706" s="10"/>
    </row>
    <row r="707" spans="1:2" x14ac:dyDescent="0.25">
      <c r="A707" s="11"/>
      <c r="B707" s="11"/>
    </row>
    <row r="708" spans="1:2" s="8" customFormat="1" x14ac:dyDescent="0.25">
      <c r="A708" s="10"/>
      <c r="B708" s="10"/>
    </row>
    <row r="709" spans="1:2" x14ac:dyDescent="0.25">
      <c r="A709" s="11"/>
      <c r="B709" s="11"/>
    </row>
    <row r="710" spans="1:2" s="8" customFormat="1" x14ac:dyDescent="0.25">
      <c r="A710" s="10"/>
      <c r="B710" s="10"/>
    </row>
    <row r="711" spans="1:2" x14ac:dyDescent="0.25">
      <c r="A711" s="11"/>
      <c r="B711" s="11"/>
    </row>
    <row r="712" spans="1:2" s="8" customFormat="1" x14ac:dyDescent="0.25">
      <c r="A712" s="10"/>
      <c r="B712" s="10"/>
    </row>
    <row r="713" spans="1:2" x14ac:dyDescent="0.25">
      <c r="A713" s="11"/>
      <c r="B713" s="11"/>
    </row>
    <row r="714" spans="1:2" s="8" customFormat="1" x14ac:dyDescent="0.25">
      <c r="A714" s="10"/>
      <c r="B714" s="10"/>
    </row>
    <row r="715" spans="1:2" x14ac:dyDescent="0.25">
      <c r="A715" s="11"/>
      <c r="B715" s="11"/>
    </row>
    <row r="716" spans="1:2" s="8" customFormat="1" x14ac:dyDescent="0.25">
      <c r="A716" s="10"/>
      <c r="B716" s="10"/>
    </row>
    <row r="717" spans="1:2" x14ac:dyDescent="0.25">
      <c r="A717" s="11"/>
      <c r="B717" s="11"/>
    </row>
    <row r="718" spans="1:2" s="8" customFormat="1" x14ac:dyDescent="0.25">
      <c r="A718" s="10"/>
      <c r="B718" s="10"/>
    </row>
    <row r="719" spans="1:2" x14ac:dyDescent="0.25">
      <c r="A719" s="11"/>
      <c r="B719" s="11"/>
    </row>
    <row r="720" spans="1:2" s="8" customFormat="1" x14ac:dyDescent="0.25">
      <c r="A720" s="10"/>
      <c r="B720" s="10"/>
    </row>
    <row r="721" spans="1:2" x14ac:dyDescent="0.25">
      <c r="A721" s="11"/>
      <c r="B721" s="11"/>
    </row>
    <row r="722" spans="1:2" s="8" customFormat="1" x14ac:dyDescent="0.25">
      <c r="A722" s="10"/>
      <c r="B722" s="10"/>
    </row>
    <row r="723" spans="1:2" x14ac:dyDescent="0.25">
      <c r="A723" s="11"/>
      <c r="B723" s="11"/>
    </row>
    <row r="724" spans="1:2" s="8" customFormat="1" x14ac:dyDescent="0.25">
      <c r="A724" s="10"/>
      <c r="B724" s="10"/>
    </row>
    <row r="725" spans="1:2" x14ac:dyDescent="0.25">
      <c r="A725" s="11"/>
      <c r="B725" s="11"/>
    </row>
    <row r="726" spans="1:2" s="8" customFormat="1" x14ac:dyDescent="0.25">
      <c r="A726" s="10"/>
      <c r="B726" s="10"/>
    </row>
    <row r="727" spans="1:2" x14ac:dyDescent="0.25">
      <c r="A727" s="11"/>
      <c r="B727" s="11"/>
    </row>
    <row r="728" spans="1:2" s="8" customFormat="1" x14ac:dyDescent="0.25">
      <c r="A728" s="10"/>
      <c r="B728" s="10"/>
    </row>
    <row r="729" spans="1:2" x14ac:dyDescent="0.25">
      <c r="A729" s="11"/>
      <c r="B729" s="11"/>
    </row>
    <row r="730" spans="1:2" s="8" customFormat="1" x14ac:dyDescent="0.25">
      <c r="A730" s="10"/>
      <c r="B730" s="10"/>
    </row>
    <row r="731" spans="1:2" x14ac:dyDescent="0.25">
      <c r="A731" s="11"/>
      <c r="B731" s="11"/>
    </row>
    <row r="732" spans="1:2" s="8" customFormat="1" x14ac:dyDescent="0.25">
      <c r="A732" s="10"/>
      <c r="B732" s="10"/>
    </row>
    <row r="733" spans="1:2" x14ac:dyDescent="0.25">
      <c r="A733" s="11"/>
      <c r="B733" s="11"/>
    </row>
    <row r="734" spans="1:2" s="8" customFormat="1" x14ac:dyDescent="0.25">
      <c r="A734" s="10"/>
      <c r="B734" s="10"/>
    </row>
    <row r="735" spans="1:2" x14ac:dyDescent="0.25">
      <c r="A735" s="11"/>
      <c r="B735" s="11"/>
    </row>
    <row r="736" spans="1:2" s="8" customFormat="1" x14ac:dyDescent="0.25">
      <c r="A736" s="10"/>
      <c r="B736" s="10"/>
    </row>
    <row r="737" spans="1:2" x14ac:dyDescent="0.25">
      <c r="A737" s="11"/>
      <c r="B737" s="11"/>
    </row>
    <row r="738" spans="1:2" s="8" customFormat="1" x14ac:dyDescent="0.25">
      <c r="A738" s="10"/>
      <c r="B738" s="10"/>
    </row>
    <row r="739" spans="1:2" x14ac:dyDescent="0.25">
      <c r="A739" s="11"/>
      <c r="B739" s="11"/>
    </row>
    <row r="740" spans="1:2" s="8" customFormat="1" x14ac:dyDescent="0.25">
      <c r="A740" s="10"/>
      <c r="B740" s="10"/>
    </row>
    <row r="741" spans="1:2" x14ac:dyDescent="0.25">
      <c r="A741" s="11"/>
      <c r="B741" s="11"/>
    </row>
    <row r="742" spans="1:2" s="8" customFormat="1" x14ac:dyDescent="0.25">
      <c r="A742" s="10"/>
      <c r="B742" s="10"/>
    </row>
    <row r="743" spans="1:2" x14ac:dyDescent="0.25">
      <c r="A743" s="11"/>
      <c r="B743" s="11"/>
    </row>
    <row r="744" spans="1:2" s="8" customFormat="1" x14ac:dyDescent="0.25">
      <c r="A744" s="10"/>
      <c r="B744" s="10"/>
    </row>
    <row r="745" spans="1:2" x14ac:dyDescent="0.25">
      <c r="A745" s="11"/>
      <c r="B745" s="11"/>
    </row>
    <row r="746" spans="1:2" s="8" customFormat="1" x14ac:dyDescent="0.25">
      <c r="A746" s="10"/>
      <c r="B746" s="10"/>
    </row>
    <row r="747" spans="1:2" x14ac:dyDescent="0.25">
      <c r="A747" s="11"/>
      <c r="B747" s="11"/>
    </row>
    <row r="748" spans="1:2" s="8" customFormat="1" x14ac:dyDescent="0.25">
      <c r="A748" s="10"/>
      <c r="B748" s="10"/>
    </row>
    <row r="749" spans="1:2" x14ac:dyDescent="0.25">
      <c r="A749" s="11"/>
      <c r="B749" s="11"/>
    </row>
    <row r="750" spans="1:2" s="8" customFormat="1" x14ac:dyDescent="0.25">
      <c r="A750" s="10"/>
      <c r="B750" s="10"/>
    </row>
    <row r="751" spans="1:2" x14ac:dyDescent="0.25">
      <c r="A751" s="11"/>
      <c r="B751" s="11"/>
    </row>
    <row r="752" spans="1:2" s="8" customFormat="1" x14ac:dyDescent="0.25">
      <c r="A752" s="10"/>
      <c r="B752" s="10"/>
    </row>
    <row r="753" spans="1:2" x14ac:dyDescent="0.25">
      <c r="A753" s="11"/>
      <c r="B753" s="11"/>
    </row>
    <row r="754" spans="1:2" s="8" customFormat="1" x14ac:dyDescent="0.25">
      <c r="A754" s="10"/>
      <c r="B754" s="10"/>
    </row>
    <row r="755" spans="1:2" x14ac:dyDescent="0.25">
      <c r="A755" s="11"/>
      <c r="B755" s="11"/>
    </row>
    <row r="756" spans="1:2" s="8" customFormat="1" x14ac:dyDescent="0.25">
      <c r="A756" s="10"/>
      <c r="B756" s="10"/>
    </row>
    <row r="757" spans="1:2" x14ac:dyDescent="0.25">
      <c r="A757" s="11"/>
      <c r="B757" s="11"/>
    </row>
    <row r="758" spans="1:2" s="8" customFormat="1" x14ac:dyDescent="0.25">
      <c r="A758" s="10"/>
      <c r="B758" s="10"/>
    </row>
    <row r="759" spans="1:2" x14ac:dyDescent="0.25">
      <c r="A759" s="11"/>
      <c r="B759" s="11"/>
    </row>
    <row r="760" spans="1:2" s="8" customFormat="1" x14ac:dyDescent="0.25">
      <c r="A760" s="10"/>
      <c r="B760" s="10"/>
    </row>
    <row r="761" spans="1:2" x14ac:dyDescent="0.25">
      <c r="A761" s="11"/>
      <c r="B761" s="11"/>
    </row>
    <row r="762" spans="1:2" s="8" customFormat="1" x14ac:dyDescent="0.25">
      <c r="A762" s="10"/>
      <c r="B762" s="10"/>
    </row>
    <row r="763" spans="1:2" x14ac:dyDescent="0.25">
      <c r="A763" s="11"/>
      <c r="B763" s="11"/>
    </row>
    <row r="764" spans="1:2" s="8" customFormat="1" x14ac:dyDescent="0.25">
      <c r="A764" s="10"/>
      <c r="B764" s="10"/>
    </row>
    <row r="765" spans="1:2" x14ac:dyDescent="0.25">
      <c r="A765" s="11"/>
      <c r="B765" s="11"/>
    </row>
    <row r="766" spans="1:2" s="8" customFormat="1" x14ac:dyDescent="0.25">
      <c r="A766" s="10"/>
      <c r="B766" s="10"/>
    </row>
    <row r="767" spans="1:2" x14ac:dyDescent="0.25">
      <c r="A767" s="11"/>
      <c r="B767" s="11"/>
    </row>
    <row r="768" spans="1:2" s="8" customFormat="1" x14ac:dyDescent="0.25">
      <c r="A768" s="10"/>
      <c r="B768" s="10"/>
    </row>
    <row r="769" spans="1:2" x14ac:dyDescent="0.25">
      <c r="A769" s="11"/>
      <c r="B769" s="11"/>
    </row>
    <row r="770" spans="1:2" s="8" customFormat="1" x14ac:dyDescent="0.25">
      <c r="A770" s="10"/>
      <c r="B770" s="10"/>
    </row>
    <row r="771" spans="1:2" x14ac:dyDescent="0.25">
      <c r="A771" s="11"/>
      <c r="B771" s="11"/>
    </row>
    <row r="772" spans="1:2" s="8" customFormat="1" x14ac:dyDescent="0.25">
      <c r="A772" s="10"/>
      <c r="B772" s="10"/>
    </row>
    <row r="773" spans="1:2" x14ac:dyDescent="0.25">
      <c r="A773" s="11"/>
      <c r="B773" s="11"/>
    </row>
    <row r="774" spans="1:2" s="8" customFormat="1" x14ac:dyDescent="0.25">
      <c r="A774" s="10"/>
      <c r="B774" s="10"/>
    </row>
    <row r="775" spans="1:2" x14ac:dyDescent="0.25">
      <c r="A775" s="11"/>
      <c r="B775" s="11"/>
    </row>
    <row r="776" spans="1:2" s="8" customFormat="1" x14ac:dyDescent="0.25">
      <c r="A776" s="10"/>
      <c r="B776" s="10"/>
    </row>
    <row r="777" spans="1:2" x14ac:dyDescent="0.25">
      <c r="A777" s="11"/>
      <c r="B777" s="11"/>
    </row>
    <row r="778" spans="1:2" s="8" customFormat="1" x14ac:dyDescent="0.25">
      <c r="A778" s="10"/>
      <c r="B778" s="10"/>
    </row>
    <row r="779" spans="1:2" x14ac:dyDescent="0.25">
      <c r="A779" s="11"/>
      <c r="B779" s="11"/>
    </row>
    <row r="780" spans="1:2" s="8" customFormat="1" x14ac:dyDescent="0.25">
      <c r="A780" s="10"/>
      <c r="B780" s="10"/>
    </row>
    <row r="781" spans="1:2" x14ac:dyDescent="0.25">
      <c r="A781" s="11"/>
      <c r="B781" s="11"/>
    </row>
    <row r="782" spans="1:2" s="8" customFormat="1" x14ac:dyDescent="0.25">
      <c r="A782" s="10"/>
      <c r="B782" s="10"/>
    </row>
    <row r="783" spans="1:2" x14ac:dyDescent="0.25">
      <c r="A783" s="11"/>
      <c r="B783" s="11"/>
    </row>
    <row r="784" spans="1:2" s="8" customFormat="1" x14ac:dyDescent="0.25">
      <c r="A784" s="10"/>
      <c r="B784" s="10"/>
    </row>
    <row r="785" spans="1:2" x14ac:dyDescent="0.25">
      <c r="A785" s="11"/>
      <c r="B785" s="11"/>
    </row>
    <row r="786" spans="1:2" s="8" customFormat="1" x14ac:dyDescent="0.25">
      <c r="A786" s="10"/>
      <c r="B786" s="10"/>
    </row>
    <row r="787" spans="1:2" x14ac:dyDescent="0.25">
      <c r="A787" s="11"/>
      <c r="B787" s="11"/>
    </row>
    <row r="788" spans="1:2" s="8" customFormat="1" x14ac:dyDescent="0.25">
      <c r="A788" s="10"/>
      <c r="B788" s="10"/>
    </row>
    <row r="789" spans="1:2" x14ac:dyDescent="0.25">
      <c r="A789" s="11"/>
      <c r="B789" s="11"/>
    </row>
    <row r="790" spans="1:2" s="8" customFormat="1" x14ac:dyDescent="0.25">
      <c r="A790" s="10"/>
      <c r="B790" s="10"/>
    </row>
    <row r="791" spans="1:2" x14ac:dyDescent="0.25">
      <c r="A791" s="11"/>
      <c r="B791" s="11"/>
    </row>
    <row r="792" spans="1:2" s="8" customFormat="1" x14ac:dyDescent="0.25">
      <c r="A792" s="10"/>
      <c r="B792" s="10"/>
    </row>
    <row r="793" spans="1:2" x14ac:dyDescent="0.25">
      <c r="A793" s="11"/>
      <c r="B793" s="11"/>
    </row>
    <row r="794" spans="1:2" s="8" customFormat="1" x14ac:dyDescent="0.25">
      <c r="A794" s="10"/>
      <c r="B794" s="10"/>
    </row>
    <row r="795" spans="1:2" x14ac:dyDescent="0.25">
      <c r="A795" s="11"/>
      <c r="B795" s="11"/>
    </row>
    <row r="796" spans="1:2" s="8" customFormat="1" x14ac:dyDescent="0.25">
      <c r="A796" s="10"/>
      <c r="B796" s="10"/>
    </row>
    <row r="797" spans="1:2" x14ac:dyDescent="0.25">
      <c r="A797" s="11"/>
      <c r="B797" s="11"/>
    </row>
    <row r="798" spans="1:2" s="8" customFormat="1" x14ac:dyDescent="0.25">
      <c r="A798" s="10"/>
      <c r="B798" s="10"/>
    </row>
    <row r="799" spans="1:2" x14ac:dyDescent="0.25">
      <c r="A799" s="11"/>
      <c r="B799" s="11"/>
    </row>
    <row r="800" spans="1:2" s="8" customFormat="1" x14ac:dyDescent="0.25">
      <c r="A800" s="10"/>
      <c r="B800" s="10"/>
    </row>
    <row r="801" spans="1:2" x14ac:dyDescent="0.25">
      <c r="A801" s="11"/>
      <c r="B801" s="11"/>
    </row>
    <row r="802" spans="1:2" s="8" customFormat="1" x14ac:dyDescent="0.25">
      <c r="A802" s="10"/>
      <c r="B802" s="10"/>
    </row>
    <row r="803" spans="1:2" x14ac:dyDescent="0.25">
      <c r="A803" s="11"/>
      <c r="B803" s="11"/>
    </row>
    <row r="804" spans="1:2" s="8" customFormat="1" x14ac:dyDescent="0.25">
      <c r="A804" s="10"/>
      <c r="B804" s="10"/>
    </row>
    <row r="805" spans="1:2" x14ac:dyDescent="0.25">
      <c r="A805" s="11"/>
      <c r="B805" s="11"/>
    </row>
    <row r="806" spans="1:2" s="8" customFormat="1" x14ac:dyDescent="0.25">
      <c r="A806" s="10"/>
      <c r="B806" s="10"/>
    </row>
    <row r="807" spans="1:2" x14ac:dyDescent="0.25">
      <c r="A807" s="11"/>
      <c r="B807" s="11"/>
    </row>
    <row r="808" spans="1:2" s="8" customFormat="1" x14ac:dyDescent="0.25">
      <c r="A808" s="10"/>
      <c r="B808" s="10"/>
    </row>
    <row r="809" spans="1:2" x14ac:dyDescent="0.25">
      <c r="A809" s="11"/>
      <c r="B809" s="11"/>
    </row>
    <row r="810" spans="1:2" s="8" customFormat="1" x14ac:dyDescent="0.25">
      <c r="A810" s="10"/>
      <c r="B810" s="10"/>
    </row>
    <row r="811" spans="1:2" x14ac:dyDescent="0.25">
      <c r="A811" s="11"/>
      <c r="B811" s="11"/>
    </row>
    <row r="812" spans="1:2" s="8" customFormat="1" x14ac:dyDescent="0.25">
      <c r="A812" s="10"/>
      <c r="B812" s="10"/>
    </row>
    <row r="813" spans="1:2" x14ac:dyDescent="0.25">
      <c r="A813" s="11"/>
      <c r="B813" s="11"/>
    </row>
    <row r="814" spans="1:2" s="8" customFormat="1" x14ac:dyDescent="0.25">
      <c r="A814" s="10"/>
      <c r="B814" s="10"/>
    </row>
    <row r="815" spans="1:2" x14ac:dyDescent="0.25">
      <c r="A815" s="11"/>
      <c r="B815" s="11"/>
    </row>
    <row r="816" spans="1:2" s="8" customFormat="1" x14ac:dyDescent="0.25">
      <c r="A816" s="10"/>
      <c r="B816" s="10"/>
    </row>
    <row r="817" spans="1:2" x14ac:dyDescent="0.25">
      <c r="A817" s="11"/>
      <c r="B817" s="11"/>
    </row>
    <row r="818" spans="1:2" s="8" customFormat="1" x14ac:dyDescent="0.25">
      <c r="A818" s="10"/>
      <c r="B818" s="10"/>
    </row>
    <row r="819" spans="1:2" x14ac:dyDescent="0.25">
      <c r="A819" s="11"/>
      <c r="B819" s="11"/>
    </row>
    <row r="820" spans="1:2" s="8" customFormat="1" x14ac:dyDescent="0.25">
      <c r="A820" s="10"/>
      <c r="B820" s="10"/>
    </row>
    <row r="821" spans="1:2" x14ac:dyDescent="0.25">
      <c r="A821" s="11"/>
      <c r="B821" s="11"/>
    </row>
    <row r="822" spans="1:2" s="8" customFormat="1" x14ac:dyDescent="0.25">
      <c r="A822" s="10"/>
      <c r="B822" s="10"/>
    </row>
    <row r="823" spans="1:2" x14ac:dyDescent="0.25">
      <c r="A823" s="11"/>
      <c r="B823" s="11"/>
    </row>
    <row r="824" spans="1:2" s="8" customFormat="1" x14ac:dyDescent="0.25">
      <c r="A824" s="10"/>
      <c r="B824" s="10"/>
    </row>
    <row r="825" spans="1:2" x14ac:dyDescent="0.25">
      <c r="A825" s="11"/>
      <c r="B825" s="11"/>
    </row>
    <row r="826" spans="1:2" s="8" customFormat="1" x14ac:dyDescent="0.25">
      <c r="A826" s="10"/>
      <c r="B826" s="10"/>
    </row>
    <row r="827" spans="1:2" x14ac:dyDescent="0.25">
      <c r="A827" s="11"/>
      <c r="B827" s="11"/>
    </row>
    <row r="828" spans="1:2" s="8" customFormat="1" x14ac:dyDescent="0.25">
      <c r="A828" s="10"/>
      <c r="B828" s="10"/>
    </row>
    <row r="829" spans="1:2" x14ac:dyDescent="0.25">
      <c r="A829" s="11"/>
      <c r="B829" s="11"/>
    </row>
    <row r="830" spans="1:2" s="8" customFormat="1" x14ac:dyDescent="0.25">
      <c r="A830" s="10"/>
      <c r="B830" s="10"/>
    </row>
    <row r="831" spans="1:2" x14ac:dyDescent="0.25">
      <c r="A831" s="11"/>
      <c r="B831" s="11"/>
    </row>
    <row r="832" spans="1:2" s="8" customFormat="1" x14ac:dyDescent="0.25">
      <c r="A832" s="10"/>
      <c r="B832" s="10"/>
    </row>
    <row r="833" spans="1:2" x14ac:dyDescent="0.25">
      <c r="A833" s="11"/>
      <c r="B833" s="11"/>
    </row>
    <row r="834" spans="1:2" s="8" customFormat="1" x14ac:dyDescent="0.25">
      <c r="A834" s="10"/>
      <c r="B834" s="10"/>
    </row>
    <row r="835" spans="1:2" x14ac:dyDescent="0.25">
      <c r="A835" s="11"/>
      <c r="B835" s="11"/>
    </row>
    <row r="836" spans="1:2" s="8" customFormat="1" x14ac:dyDescent="0.25">
      <c r="A836" s="10"/>
      <c r="B836" s="10"/>
    </row>
    <row r="837" spans="1:2" x14ac:dyDescent="0.25">
      <c r="A837" s="11"/>
      <c r="B837" s="11"/>
    </row>
    <row r="838" spans="1:2" s="8" customFormat="1" x14ac:dyDescent="0.25">
      <c r="A838" s="10"/>
      <c r="B838" s="10"/>
    </row>
    <row r="839" spans="1:2" x14ac:dyDescent="0.25">
      <c r="A839" s="11"/>
      <c r="B839" s="11"/>
    </row>
    <row r="840" spans="1:2" s="8" customFormat="1" x14ac:dyDescent="0.25">
      <c r="A840" s="10"/>
      <c r="B840" s="10"/>
    </row>
    <row r="841" spans="1:2" x14ac:dyDescent="0.25">
      <c r="A841" s="11"/>
      <c r="B841" s="11"/>
    </row>
    <row r="842" spans="1:2" s="8" customFormat="1" x14ac:dyDescent="0.25">
      <c r="A842" s="10"/>
      <c r="B842" s="10"/>
    </row>
    <row r="843" spans="1:2" x14ac:dyDescent="0.25">
      <c r="A843" s="11"/>
      <c r="B843" s="11"/>
    </row>
    <row r="844" spans="1:2" s="8" customFormat="1" x14ac:dyDescent="0.25">
      <c r="A844" s="10"/>
      <c r="B844" s="10"/>
    </row>
    <row r="845" spans="1:2" x14ac:dyDescent="0.25">
      <c r="A845" s="11"/>
      <c r="B845" s="11"/>
    </row>
    <row r="846" spans="1:2" s="8" customFormat="1" x14ac:dyDescent="0.25">
      <c r="A846" s="10"/>
      <c r="B846" s="10"/>
    </row>
    <row r="847" spans="1:2" x14ac:dyDescent="0.25">
      <c r="A847" s="11"/>
      <c r="B847" s="11"/>
    </row>
    <row r="848" spans="1:2" s="8" customFormat="1" x14ac:dyDescent="0.25">
      <c r="A848" s="10"/>
      <c r="B848" s="10"/>
    </row>
    <row r="849" spans="1:2" x14ac:dyDescent="0.25">
      <c r="A849" s="11"/>
      <c r="B849" s="11"/>
    </row>
    <row r="850" spans="1:2" s="8" customFormat="1" x14ac:dyDescent="0.25">
      <c r="A850" s="10"/>
      <c r="B850" s="10"/>
    </row>
    <row r="851" spans="1:2" x14ac:dyDescent="0.25">
      <c r="A851" s="11"/>
      <c r="B851" s="11"/>
    </row>
    <row r="852" spans="1:2" s="8" customFormat="1" x14ac:dyDescent="0.25">
      <c r="A852" s="10"/>
      <c r="B852" s="10"/>
    </row>
    <row r="853" spans="1:2" x14ac:dyDescent="0.25">
      <c r="A853" s="11"/>
      <c r="B853" s="11"/>
    </row>
    <row r="854" spans="1:2" s="8" customFormat="1" x14ac:dyDescent="0.25">
      <c r="A854" s="10"/>
      <c r="B854" s="10"/>
    </row>
    <row r="855" spans="1:2" x14ac:dyDescent="0.25">
      <c r="A855" s="11"/>
      <c r="B855" s="11"/>
    </row>
    <row r="856" spans="1:2" s="8" customFormat="1" x14ac:dyDescent="0.25">
      <c r="A856" s="10"/>
      <c r="B856" s="10"/>
    </row>
    <row r="857" spans="1:2" x14ac:dyDescent="0.25">
      <c r="A857" s="11"/>
      <c r="B857" s="11"/>
    </row>
    <row r="858" spans="1:2" s="8" customFormat="1" x14ac:dyDescent="0.25">
      <c r="A858" s="10"/>
      <c r="B858" s="10"/>
    </row>
    <row r="859" spans="1:2" x14ac:dyDescent="0.25">
      <c r="A859" s="11"/>
      <c r="B859" s="11"/>
    </row>
    <row r="860" spans="1:2" s="8" customFormat="1" x14ac:dyDescent="0.25">
      <c r="A860" s="10"/>
      <c r="B860" s="10"/>
    </row>
    <row r="861" spans="1:2" x14ac:dyDescent="0.25">
      <c r="A861" s="11"/>
      <c r="B861" s="11"/>
    </row>
    <row r="862" spans="1:2" s="8" customFormat="1" x14ac:dyDescent="0.25">
      <c r="A862" s="10"/>
      <c r="B862" s="10"/>
    </row>
    <row r="863" spans="1:2" x14ac:dyDescent="0.25">
      <c r="A863" s="11"/>
      <c r="B863" s="11"/>
    </row>
    <row r="864" spans="1:2" s="8" customFormat="1" x14ac:dyDescent="0.25">
      <c r="A864" s="10"/>
      <c r="B864" s="10"/>
    </row>
    <row r="865" spans="1:2" x14ac:dyDescent="0.25">
      <c r="A865" s="11"/>
      <c r="B865" s="11"/>
    </row>
    <row r="866" spans="1:2" s="8" customFormat="1" x14ac:dyDescent="0.25">
      <c r="A866" s="10"/>
      <c r="B866" s="10"/>
    </row>
    <row r="867" spans="1:2" x14ac:dyDescent="0.25">
      <c r="A867" s="11"/>
      <c r="B867" s="11"/>
    </row>
    <row r="868" spans="1:2" s="8" customFormat="1" x14ac:dyDescent="0.25">
      <c r="A868" s="10"/>
      <c r="B868" s="10"/>
    </row>
    <row r="869" spans="1:2" x14ac:dyDescent="0.25">
      <c r="A869" s="11"/>
      <c r="B869" s="11"/>
    </row>
    <row r="870" spans="1:2" s="8" customFormat="1" x14ac:dyDescent="0.25">
      <c r="A870" s="10"/>
      <c r="B870" s="10"/>
    </row>
    <row r="871" spans="1:2" x14ac:dyDescent="0.25">
      <c r="A871" s="11"/>
      <c r="B871" s="11"/>
    </row>
    <row r="872" spans="1:2" s="8" customFormat="1" x14ac:dyDescent="0.25">
      <c r="A872" s="10"/>
      <c r="B872" s="10"/>
    </row>
    <row r="873" spans="1:2" x14ac:dyDescent="0.25">
      <c r="A873" s="11"/>
      <c r="B873" s="11"/>
    </row>
    <row r="874" spans="1:2" s="8" customFormat="1" x14ac:dyDescent="0.25">
      <c r="A874" s="10"/>
      <c r="B874" s="10"/>
    </row>
    <row r="875" spans="1:2" x14ac:dyDescent="0.25">
      <c r="A875" s="11"/>
      <c r="B875" s="11"/>
    </row>
    <row r="876" spans="1:2" s="8" customFormat="1" x14ac:dyDescent="0.25">
      <c r="A876" s="10"/>
      <c r="B876" s="10"/>
    </row>
    <row r="877" spans="1:2" x14ac:dyDescent="0.25">
      <c r="A877" s="11"/>
      <c r="B877" s="11"/>
    </row>
    <row r="878" spans="1:2" s="8" customFormat="1" x14ac:dyDescent="0.25">
      <c r="A878" s="10"/>
      <c r="B878" s="10"/>
    </row>
    <row r="879" spans="1:2" x14ac:dyDescent="0.25">
      <c r="A879" s="11"/>
      <c r="B879" s="11"/>
    </row>
    <row r="880" spans="1:2" s="8" customFormat="1" x14ac:dyDescent="0.25">
      <c r="A880" s="10"/>
      <c r="B880" s="10"/>
    </row>
    <row r="881" spans="1:2" x14ac:dyDescent="0.25">
      <c r="A881" s="11"/>
      <c r="B881" s="11"/>
    </row>
    <row r="882" spans="1:2" s="8" customFormat="1" x14ac:dyDescent="0.25">
      <c r="A882" s="10"/>
      <c r="B882" s="10"/>
    </row>
    <row r="883" spans="1:2" x14ac:dyDescent="0.25">
      <c r="A883" s="11"/>
      <c r="B883" s="11"/>
    </row>
    <row r="884" spans="1:2" s="8" customFormat="1" x14ac:dyDescent="0.25">
      <c r="A884" s="10"/>
      <c r="B884" s="10"/>
    </row>
    <row r="885" spans="1:2" x14ac:dyDescent="0.25">
      <c r="A885" s="11"/>
      <c r="B885" s="11"/>
    </row>
    <row r="886" spans="1:2" s="8" customFormat="1" x14ac:dyDescent="0.25">
      <c r="A886" s="10"/>
      <c r="B886" s="10"/>
    </row>
    <row r="887" spans="1:2" x14ac:dyDescent="0.25">
      <c r="A887" s="11"/>
      <c r="B887" s="11"/>
    </row>
    <row r="888" spans="1:2" s="8" customFormat="1" x14ac:dyDescent="0.25">
      <c r="A888" s="10"/>
      <c r="B888" s="10"/>
    </row>
    <row r="889" spans="1:2" x14ac:dyDescent="0.25">
      <c r="A889" s="11"/>
      <c r="B889" s="11"/>
    </row>
    <row r="890" spans="1:2" s="8" customFormat="1" x14ac:dyDescent="0.25">
      <c r="A890" s="10"/>
      <c r="B890" s="10"/>
    </row>
    <row r="891" spans="1:2" x14ac:dyDescent="0.25">
      <c r="A891" s="11"/>
      <c r="B891" s="11"/>
    </row>
    <row r="892" spans="1:2" s="8" customFormat="1" x14ac:dyDescent="0.25">
      <c r="A892" s="10"/>
      <c r="B892" s="10"/>
    </row>
    <row r="893" spans="1:2" x14ac:dyDescent="0.25">
      <c r="A893" s="11"/>
      <c r="B893" s="11"/>
    </row>
    <row r="894" spans="1:2" s="8" customFormat="1" x14ac:dyDescent="0.25">
      <c r="A894" s="10"/>
      <c r="B894" s="10"/>
    </row>
    <row r="895" spans="1:2" x14ac:dyDescent="0.25">
      <c r="A895" s="11"/>
      <c r="B895" s="11"/>
    </row>
    <row r="896" spans="1:2" s="8" customFormat="1" x14ac:dyDescent="0.25">
      <c r="A896" s="10"/>
      <c r="B896" s="10"/>
    </row>
    <row r="897" spans="1:2" x14ac:dyDescent="0.25">
      <c r="A897" s="11"/>
      <c r="B897" s="11"/>
    </row>
    <row r="898" spans="1:2" s="8" customFormat="1" x14ac:dyDescent="0.25">
      <c r="A898" s="10"/>
      <c r="B898" s="10"/>
    </row>
    <row r="899" spans="1:2" x14ac:dyDescent="0.25">
      <c r="A899" s="11"/>
      <c r="B899" s="11"/>
    </row>
    <row r="900" spans="1:2" s="8" customFormat="1" x14ac:dyDescent="0.25">
      <c r="A900" s="10"/>
      <c r="B900" s="10"/>
    </row>
    <row r="901" spans="1:2" x14ac:dyDescent="0.25">
      <c r="A901" s="11"/>
      <c r="B901" s="11"/>
    </row>
    <row r="902" spans="1:2" s="8" customFormat="1" x14ac:dyDescent="0.25">
      <c r="A902" s="10"/>
      <c r="B902" s="10"/>
    </row>
    <row r="903" spans="1:2" x14ac:dyDescent="0.25">
      <c r="A903" s="11"/>
      <c r="B903" s="11"/>
    </row>
    <row r="904" spans="1:2" s="8" customFormat="1" x14ac:dyDescent="0.25">
      <c r="A904" s="10"/>
      <c r="B904" s="10"/>
    </row>
    <row r="905" spans="1:2" x14ac:dyDescent="0.25">
      <c r="A905" s="11"/>
      <c r="B905" s="11"/>
    </row>
    <row r="906" spans="1:2" s="8" customFormat="1" x14ac:dyDescent="0.25">
      <c r="A906" s="10"/>
      <c r="B906" s="10"/>
    </row>
    <row r="907" spans="1:2" x14ac:dyDescent="0.25">
      <c r="A907" s="11"/>
      <c r="B907" s="11"/>
    </row>
    <row r="908" spans="1:2" s="8" customFormat="1" x14ac:dyDescent="0.25">
      <c r="A908" s="10"/>
      <c r="B908" s="10"/>
    </row>
    <row r="909" spans="1:2" x14ac:dyDescent="0.25">
      <c r="A909" s="11"/>
      <c r="B909" s="11"/>
    </row>
    <row r="910" spans="1:2" s="8" customFormat="1" x14ac:dyDescent="0.25">
      <c r="A910" s="10"/>
      <c r="B910" s="10"/>
    </row>
    <row r="911" spans="1:2" x14ac:dyDescent="0.25">
      <c r="A911" s="11"/>
      <c r="B911" s="11"/>
    </row>
    <row r="912" spans="1:2" s="8" customFormat="1" x14ac:dyDescent="0.25">
      <c r="A912" s="10"/>
      <c r="B912" s="10"/>
    </row>
    <row r="913" spans="1:2" x14ac:dyDescent="0.25">
      <c r="A913" s="11"/>
      <c r="B913" s="11"/>
    </row>
    <row r="914" spans="1:2" s="8" customFormat="1" x14ac:dyDescent="0.25">
      <c r="A914" s="10"/>
      <c r="B914" s="10"/>
    </row>
    <row r="915" spans="1:2" x14ac:dyDescent="0.25">
      <c r="A915" s="11"/>
      <c r="B915" s="11"/>
    </row>
    <row r="916" spans="1:2" s="8" customFormat="1" x14ac:dyDescent="0.25">
      <c r="A916" s="10"/>
      <c r="B916" s="10"/>
    </row>
    <row r="917" spans="1:2" x14ac:dyDescent="0.25">
      <c r="A917" s="11"/>
      <c r="B917" s="11"/>
    </row>
    <row r="918" spans="1:2" s="8" customFormat="1" x14ac:dyDescent="0.25">
      <c r="A918" s="10"/>
      <c r="B918" s="10"/>
    </row>
    <row r="919" spans="1:2" x14ac:dyDescent="0.25">
      <c r="A919" s="11"/>
      <c r="B919" s="11"/>
    </row>
    <row r="920" spans="1:2" s="8" customFormat="1" x14ac:dyDescent="0.25">
      <c r="A920" s="10"/>
      <c r="B920" s="10"/>
    </row>
    <row r="921" spans="1:2" x14ac:dyDescent="0.25">
      <c r="A921" s="11"/>
      <c r="B921" s="11"/>
    </row>
    <row r="922" spans="1:2" s="8" customFormat="1" x14ac:dyDescent="0.25">
      <c r="A922" s="10"/>
      <c r="B922" s="10"/>
    </row>
    <row r="923" spans="1:2" x14ac:dyDescent="0.25">
      <c r="A923" s="11"/>
      <c r="B923" s="11"/>
    </row>
    <row r="924" spans="1:2" s="8" customFormat="1" x14ac:dyDescent="0.25">
      <c r="A924" s="10"/>
      <c r="B924" s="10"/>
    </row>
    <row r="925" spans="1:2" x14ac:dyDescent="0.25">
      <c r="A925" s="11"/>
      <c r="B925" s="11"/>
    </row>
    <row r="926" spans="1:2" s="8" customFormat="1" x14ac:dyDescent="0.25">
      <c r="A926" s="10"/>
      <c r="B926" s="10"/>
    </row>
    <row r="927" spans="1:2" x14ac:dyDescent="0.25">
      <c r="A927" s="11"/>
      <c r="B927" s="11"/>
    </row>
    <row r="928" spans="1:2" s="8" customFormat="1" x14ac:dyDescent="0.25">
      <c r="A928" s="10"/>
      <c r="B928" s="10"/>
    </row>
    <row r="929" spans="1:2" x14ac:dyDescent="0.25">
      <c r="A929" s="11"/>
      <c r="B929" s="11"/>
    </row>
    <row r="930" spans="1:2" s="8" customFormat="1" x14ac:dyDescent="0.25">
      <c r="A930" s="10"/>
      <c r="B930" s="10"/>
    </row>
    <row r="931" spans="1:2" x14ac:dyDescent="0.25">
      <c r="A931" s="11"/>
      <c r="B931" s="11"/>
    </row>
    <row r="932" spans="1:2" s="8" customFormat="1" x14ac:dyDescent="0.25">
      <c r="A932" s="10"/>
      <c r="B932" s="10"/>
    </row>
    <row r="933" spans="1:2" x14ac:dyDescent="0.25">
      <c r="A933" s="11"/>
      <c r="B933" s="11"/>
    </row>
    <row r="934" spans="1:2" s="8" customFormat="1" x14ac:dyDescent="0.25">
      <c r="A934" s="10"/>
      <c r="B934" s="10"/>
    </row>
    <row r="935" spans="1:2" x14ac:dyDescent="0.25">
      <c r="A935" s="11"/>
      <c r="B935" s="11"/>
    </row>
    <row r="936" spans="1:2" s="8" customFormat="1" x14ac:dyDescent="0.25">
      <c r="A936" s="10"/>
      <c r="B936" s="10"/>
    </row>
    <row r="937" spans="1:2" x14ac:dyDescent="0.25">
      <c r="A937" s="11"/>
      <c r="B937" s="11"/>
    </row>
    <row r="938" spans="1:2" s="8" customFormat="1" x14ac:dyDescent="0.25">
      <c r="A938" s="10"/>
      <c r="B938" s="10"/>
    </row>
    <row r="939" spans="1:2" x14ac:dyDescent="0.25">
      <c r="A939" s="11"/>
      <c r="B939" s="11"/>
    </row>
    <row r="940" spans="1:2" s="8" customFormat="1" x14ac:dyDescent="0.25">
      <c r="A940" s="10"/>
      <c r="B940" s="10"/>
    </row>
    <row r="941" spans="1:2" x14ac:dyDescent="0.25">
      <c r="A941" s="11"/>
      <c r="B941" s="11"/>
    </row>
    <row r="942" spans="1:2" s="8" customFormat="1" x14ac:dyDescent="0.25">
      <c r="A942" s="10"/>
      <c r="B942" s="10"/>
    </row>
    <row r="943" spans="1:2" x14ac:dyDescent="0.25">
      <c r="A943" s="11"/>
      <c r="B943" s="11"/>
    </row>
    <row r="944" spans="1:2" s="8" customFormat="1" x14ac:dyDescent="0.25">
      <c r="A944" s="10"/>
      <c r="B944" s="10"/>
    </row>
    <row r="945" spans="1:2" x14ac:dyDescent="0.25">
      <c r="A945" s="11"/>
      <c r="B945" s="11"/>
    </row>
    <row r="946" spans="1:2" s="8" customFormat="1" x14ac:dyDescent="0.25">
      <c r="A946" s="10"/>
      <c r="B946" s="10"/>
    </row>
    <row r="947" spans="1:2" x14ac:dyDescent="0.25">
      <c r="A947" s="11"/>
      <c r="B947" s="11"/>
    </row>
    <row r="948" spans="1:2" s="8" customFormat="1" x14ac:dyDescent="0.25">
      <c r="A948" s="10"/>
      <c r="B948" s="10"/>
    </row>
    <row r="949" spans="1:2" x14ac:dyDescent="0.25">
      <c r="A949" s="11"/>
      <c r="B949" s="11"/>
    </row>
    <row r="950" spans="1:2" s="8" customFormat="1" x14ac:dyDescent="0.25">
      <c r="A950" s="10"/>
      <c r="B950" s="10"/>
    </row>
    <row r="951" spans="1:2" x14ac:dyDescent="0.25">
      <c r="A951" s="11"/>
      <c r="B951" s="11"/>
    </row>
    <row r="952" spans="1:2" s="8" customFormat="1" x14ac:dyDescent="0.25">
      <c r="A952" s="10"/>
      <c r="B952" s="10"/>
    </row>
    <row r="953" spans="1:2" x14ac:dyDescent="0.25">
      <c r="A953" s="11"/>
      <c r="B953" s="11"/>
    </row>
    <row r="954" spans="1:2" s="8" customFormat="1" x14ac:dyDescent="0.25">
      <c r="A954" s="10"/>
      <c r="B954" s="10"/>
    </row>
    <row r="955" spans="1:2" x14ac:dyDescent="0.25">
      <c r="A955" s="11"/>
      <c r="B955" s="11"/>
    </row>
    <row r="956" spans="1:2" s="8" customFormat="1" x14ac:dyDescent="0.25">
      <c r="A956" s="10"/>
      <c r="B956" s="10"/>
    </row>
    <row r="957" spans="1:2" x14ac:dyDescent="0.25">
      <c r="A957" s="11"/>
      <c r="B957" s="11"/>
    </row>
    <row r="958" spans="1:2" s="8" customFormat="1" x14ac:dyDescent="0.25">
      <c r="A958" s="10"/>
      <c r="B958" s="10"/>
    </row>
    <row r="959" spans="1:2" x14ac:dyDescent="0.25">
      <c r="A959" s="11"/>
      <c r="B959" s="11"/>
    </row>
    <row r="960" spans="1:2" s="8" customFormat="1" x14ac:dyDescent="0.25">
      <c r="A960" s="10"/>
      <c r="B960" s="10"/>
    </row>
    <row r="961" spans="1:2" x14ac:dyDescent="0.25">
      <c r="A961" s="11"/>
      <c r="B961" s="11"/>
    </row>
    <row r="962" spans="1:2" s="8" customFormat="1" x14ac:dyDescent="0.25">
      <c r="A962" s="10"/>
      <c r="B962" s="10"/>
    </row>
    <row r="963" spans="1:2" x14ac:dyDescent="0.25">
      <c r="A963" s="11"/>
      <c r="B963" s="11"/>
    </row>
    <row r="964" spans="1:2" s="8" customFormat="1" x14ac:dyDescent="0.25">
      <c r="A964" s="10"/>
      <c r="B964" s="10"/>
    </row>
    <row r="965" spans="1:2" x14ac:dyDescent="0.25">
      <c r="A965" s="11"/>
      <c r="B965" s="11"/>
    </row>
    <row r="966" spans="1:2" s="8" customFormat="1" x14ac:dyDescent="0.25">
      <c r="A966" s="10"/>
      <c r="B966" s="10"/>
    </row>
    <row r="967" spans="1:2" x14ac:dyDescent="0.25">
      <c r="A967" s="11"/>
      <c r="B967" s="11"/>
    </row>
    <row r="968" spans="1:2" s="8" customFormat="1" x14ac:dyDescent="0.25">
      <c r="A968" s="10"/>
      <c r="B968" s="10"/>
    </row>
    <row r="969" spans="1:2" x14ac:dyDescent="0.25">
      <c r="A969" s="11"/>
      <c r="B969" s="11"/>
    </row>
    <row r="970" spans="1:2" s="8" customFormat="1" x14ac:dyDescent="0.25">
      <c r="A970" s="10"/>
      <c r="B970" s="10"/>
    </row>
    <row r="971" spans="1:2" x14ac:dyDescent="0.25">
      <c r="A971" s="11"/>
      <c r="B971" s="11"/>
    </row>
    <row r="972" spans="1:2" s="8" customFormat="1" x14ac:dyDescent="0.25">
      <c r="A972" s="10"/>
      <c r="B972" s="10"/>
    </row>
    <row r="973" spans="1:2" x14ac:dyDescent="0.25">
      <c r="A973" s="11"/>
      <c r="B973" s="11"/>
    </row>
    <row r="974" spans="1:2" s="8" customFormat="1" x14ac:dyDescent="0.25">
      <c r="A974" s="10"/>
      <c r="B974" s="10"/>
    </row>
    <row r="975" spans="1:2" x14ac:dyDescent="0.25">
      <c r="A975" s="11"/>
      <c r="B975" s="11"/>
    </row>
    <row r="976" spans="1:2" s="8" customFormat="1" x14ac:dyDescent="0.25">
      <c r="A976" s="10"/>
      <c r="B976" s="10"/>
    </row>
    <row r="977" spans="1:2" x14ac:dyDescent="0.25">
      <c r="A977" s="11"/>
      <c r="B977" s="11"/>
    </row>
    <row r="978" spans="1:2" s="8" customFormat="1" x14ac:dyDescent="0.25">
      <c r="A978" s="10"/>
      <c r="B978" s="10"/>
    </row>
    <row r="979" spans="1:2" x14ac:dyDescent="0.25">
      <c r="A979" s="11"/>
      <c r="B979" s="11"/>
    </row>
    <row r="980" spans="1:2" s="8" customFormat="1" x14ac:dyDescent="0.25">
      <c r="A980" s="10"/>
      <c r="B980" s="10"/>
    </row>
    <row r="981" spans="1:2" x14ac:dyDescent="0.25">
      <c r="A981" s="11"/>
      <c r="B981" s="11"/>
    </row>
    <row r="982" spans="1:2" s="8" customFormat="1" x14ac:dyDescent="0.25">
      <c r="A982" s="10"/>
      <c r="B982" s="10"/>
    </row>
    <row r="983" spans="1:2" x14ac:dyDescent="0.25">
      <c r="A983" s="11"/>
      <c r="B983" s="11"/>
    </row>
    <row r="984" spans="1:2" s="8" customFormat="1" x14ac:dyDescent="0.25">
      <c r="A984" s="10"/>
      <c r="B984" s="10"/>
    </row>
    <row r="985" spans="1:2" x14ac:dyDescent="0.25">
      <c r="A985" s="11"/>
      <c r="B985" s="11"/>
    </row>
    <row r="986" spans="1:2" s="8" customFormat="1" x14ac:dyDescent="0.25">
      <c r="A986" s="10"/>
      <c r="B986" s="10"/>
    </row>
    <row r="987" spans="1:2" x14ac:dyDescent="0.25">
      <c r="A987" s="11"/>
      <c r="B987" s="11"/>
    </row>
    <row r="988" spans="1:2" s="8" customFormat="1" x14ac:dyDescent="0.25">
      <c r="A988" s="10"/>
      <c r="B988" s="10"/>
    </row>
    <row r="989" spans="1:2" x14ac:dyDescent="0.25">
      <c r="A989" s="11"/>
      <c r="B989" s="11"/>
    </row>
    <row r="990" spans="1:2" s="8" customFormat="1" x14ac:dyDescent="0.25">
      <c r="A990" s="10"/>
      <c r="B990" s="10"/>
    </row>
    <row r="991" spans="1:2" x14ac:dyDescent="0.25">
      <c r="A991" s="11"/>
      <c r="B991" s="11"/>
    </row>
    <row r="992" spans="1:2" s="8" customFormat="1" x14ac:dyDescent="0.25">
      <c r="A992" s="10"/>
      <c r="B992" s="10"/>
    </row>
    <row r="993" spans="1:2" x14ac:dyDescent="0.25">
      <c r="A993" s="11"/>
      <c r="B993" s="11"/>
    </row>
    <row r="994" spans="1:2" s="8" customFormat="1" x14ac:dyDescent="0.25">
      <c r="A994" s="10"/>
      <c r="B994" s="10"/>
    </row>
    <row r="995" spans="1:2" x14ac:dyDescent="0.25">
      <c r="A995" s="11"/>
      <c r="B995" s="11"/>
    </row>
    <row r="996" spans="1:2" s="8" customFormat="1" x14ac:dyDescent="0.25">
      <c r="A996" s="10"/>
      <c r="B996" s="10"/>
    </row>
    <row r="997" spans="1:2" x14ac:dyDescent="0.25">
      <c r="A997" s="11"/>
      <c r="B997" s="11"/>
    </row>
    <row r="998" spans="1:2" s="8" customFormat="1" x14ac:dyDescent="0.25">
      <c r="A998" s="10"/>
      <c r="B998" s="10"/>
    </row>
    <row r="999" spans="1:2" x14ac:dyDescent="0.25">
      <c r="A999" s="11"/>
      <c r="B999" s="11"/>
    </row>
    <row r="1000" spans="1:2" s="8" customFormat="1" x14ac:dyDescent="0.25">
      <c r="A1000" s="10"/>
      <c r="B1000" s="10"/>
    </row>
  </sheetData>
  <dataValidations count="2">
    <dataValidation type="list" allowBlank="1" sqref="B10:B1000">
      <formula1>Configuration!$B$9:$B$20</formula1>
    </dataValidation>
    <dataValidation type="list" allowBlank="1" sqref="B2:B1000">
      <formula1>Configuration!$B$9:$B$20</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5" customWidth="1"/>
    <col min="3" max="3" width="18" customWidth="1"/>
    <col min="4" max="5" width="12" customWidth="1"/>
    <col min="6" max="7" width="16" customWidth="1"/>
    <col min="8" max="8" width="12" customWidth="1"/>
    <col min="9" max="9" width="15" customWidth="1"/>
    <col min="10" max="10" width="22" customWidth="1"/>
    <col min="11" max="11" width="20" customWidth="1"/>
    <col min="12" max="12" width="15" customWidth="1"/>
    <col min="13" max="15" width="20" customWidth="1"/>
    <col min="16" max="16" width="30" customWidth="1"/>
  </cols>
  <sheetData>
    <row r="1" ht="25" customHeight="1" spans="1:16" s="6" customFormat="1" x14ac:dyDescent="0.25">
      <c r="A1" s="6" t="s">
        <v>39</v>
      </c>
      <c r="B1" s="6" t="s">
        <v>18</v>
      </c>
      <c r="C1" s="6" t="s">
        <v>40</v>
      </c>
      <c r="D1" s="6" t="s">
        <v>41</v>
      </c>
      <c r="E1" s="6" t="s">
        <v>42</v>
      </c>
      <c r="F1" s="6" t="s">
        <v>43</v>
      </c>
      <c r="G1" s="6" t="s">
        <v>44</v>
      </c>
      <c r="H1" s="6" t="s">
        <v>45</v>
      </c>
      <c r="I1" s="6" t="s">
        <v>46</v>
      </c>
      <c r="J1" s="6" t="s">
        <v>21</v>
      </c>
      <c r="K1" s="6" t="s">
        <v>19</v>
      </c>
      <c r="L1" s="6" t="s">
        <v>20</v>
      </c>
      <c r="M1" s="6" t="s">
        <v>23</v>
      </c>
      <c r="N1" s="6" t="s">
        <v>24</v>
      </c>
      <c r="O1" s="6" t="s">
        <v>25</v>
      </c>
      <c r="P1" s="6" t="s">
        <v>26</v>
      </c>
    </row>
    <row r="2" spans="1:12" s="8" customFormat="1" x14ac:dyDescent="0.25">
      <c r="A2" s="12">
        <v>45672</v>
      </c>
      <c r="B2" s="10" t="s">
        <v>27</v>
      </c>
      <c r="C2" s="10" t="s">
        <v>47</v>
      </c>
      <c r="D2" s="10" t="s">
        <v>48</v>
      </c>
      <c r="E2" s="10" t="s">
        <v>49</v>
      </c>
      <c r="F2" s="10">
        <f>IF(AND(D2&lt;&gt;"",E2&lt;&gt;""),((TIMEVALUE(E2)-TIMEVALUE(D2))*24*60),"")</f>
      </c>
      <c r="G2" s="10">
        <v>46</v>
      </c>
      <c r="H2" s="10" t="s">
        <v>50</v>
      </c>
      <c r="I2" s="10">
        <f>IF(G2="","Pending",IF(G2&gt;=J2,"Accepted",IF(G2&gt;=(J2-Configuration!$C$5),"Tolerance","Refusal")))</f>
      </c>
      <c r="J2" s="10">
        <f>IFERROR(VLOOKUP(B2,'Plot Plan'!$A:$D,4,FALSE),"")</f>
      </c>
      <c r="K2" s="10">
        <f>IFERROR(VLOOKUP(B2,'Plot Plan'!$A:$B,2,FALSE),"")</f>
      </c>
      <c r="L2" s="10">
        <f>IFERROR(VLOOKUP(B2,'Plot Plan'!$A:$C,3,FALSE),"")</f>
      </c>
    </row>
    <row r="3" spans="1:12" x14ac:dyDescent="0.25">
      <c r="A3" s="13">
        <v>45672</v>
      </c>
      <c r="B3" s="11" t="s">
        <v>30</v>
      </c>
      <c r="C3" s="11" t="s">
        <v>47</v>
      </c>
      <c r="D3" s="11" t="s">
        <v>51</v>
      </c>
      <c r="E3" s="11" t="s">
        <v>52</v>
      </c>
      <c r="F3" s="11">
        <f>IF(AND(D3&lt;&gt;"",E3&lt;&gt;""),((TIMEVALUE(E3)-TIMEVALUE(D3))*24*60),"")</f>
      </c>
      <c r="G3" s="11">
        <v>44.5</v>
      </c>
      <c r="H3" s="11" t="s">
        <v>50</v>
      </c>
      <c r="I3" s="11">
        <f>IF(G3="","Pending",IF(G3&gt;=J3,"Accepted",IF(G3&gt;=(J3-Configuration!$C$5),"Tolerance","Refusal")))</f>
      </c>
      <c r="J3" s="11">
        <f>IFERROR(VLOOKUP(B3,'Plot Plan'!$A:$D,4,FALSE),"")</f>
      </c>
      <c r="K3" s="11">
        <f>IFERROR(VLOOKUP(B3,'Plot Plan'!$A:$B,2,FALSE),"")</f>
      </c>
      <c r="L3" s="11">
        <f>IFERROR(VLOOKUP(B3,'Plot Plan'!$A:$C,3,FALSE),"")</f>
      </c>
    </row>
    <row r="4" spans="1:12" s="8" customFormat="1" x14ac:dyDescent="0.25">
      <c r="A4" s="12">
        <v>45673</v>
      </c>
      <c r="B4" s="10" t="s">
        <v>32</v>
      </c>
      <c r="C4" s="10" t="s">
        <v>53</v>
      </c>
      <c r="D4" s="10" t="s">
        <v>54</v>
      </c>
      <c r="E4" s="10" t="s">
        <v>55</v>
      </c>
      <c r="F4" s="10">
        <f>IF(AND(D4&lt;&gt;"",E4&lt;&gt;""),((TIMEVALUE(E4)-TIMEVALUE(D4))*24*60),"")</f>
      </c>
      <c r="G4" s="10">
        <v>51</v>
      </c>
      <c r="H4" s="10" t="s">
        <v>50</v>
      </c>
      <c r="I4" s="10">
        <f>IF(G4="","Pending",IF(G4&gt;=J4,"Accepted",IF(G4&gt;=(J4-Configuration!$C$5),"Tolerance","Refusal")))</f>
      </c>
      <c r="J4" s="10">
        <f>IFERROR(VLOOKUP(B4,'Plot Plan'!$A:$D,4,FALSE),"")</f>
      </c>
      <c r="K4" s="10">
        <f>IFERROR(VLOOKUP(B4,'Plot Plan'!$A:$B,2,FALSE),"")</f>
      </c>
      <c r="L4" s="10">
        <f>IFERROR(VLOOKUP(B4,'Plot Plan'!$A:$C,3,FALSE),"")</f>
      </c>
    </row>
    <row r="5" spans="1:12" x14ac:dyDescent="0.25">
      <c r="A5" s="13">
        <v>45673</v>
      </c>
      <c r="B5" s="11" t="s">
        <v>34</v>
      </c>
      <c r="C5" s="11" t="s">
        <v>53</v>
      </c>
      <c r="D5" s="11" t="s">
        <v>56</v>
      </c>
      <c r="E5" s="11" t="s">
        <v>57</v>
      </c>
      <c r="F5" s="11">
        <f>IF(AND(D5&lt;&gt;"",E5&lt;&gt;""),((TIMEVALUE(E5)-TIMEVALUE(D5))*24*60),"")</f>
      </c>
      <c r="G5" s="11">
        <v>48</v>
      </c>
      <c r="H5" s="11" t="s">
        <v>50</v>
      </c>
      <c r="I5" s="11">
        <f>IF(G5="","Pending",IF(G5&gt;=J5,"Accepted",IF(G5&gt;=(J5-Configuration!$C$5),"Tolerance","Refusal")))</f>
      </c>
      <c r="J5" s="11">
        <f>IFERROR(VLOOKUP(B5,'Plot Plan'!$A:$D,4,FALSE),"")</f>
      </c>
      <c r="K5" s="11">
        <f>IFERROR(VLOOKUP(B5,'Plot Plan'!$A:$B,2,FALSE),"")</f>
      </c>
      <c r="L5" s="11">
        <f>IFERROR(VLOOKUP(B5,'Plot Plan'!$A:$C,3,FALSE),"")</f>
      </c>
    </row>
    <row r="6" spans="1:12" s="8" customFormat="1" x14ac:dyDescent="0.25">
      <c r="A6" s="12">
        <v>45674</v>
      </c>
      <c r="B6" s="10" t="s">
        <v>37</v>
      </c>
      <c r="C6" s="10" t="s">
        <v>47</v>
      </c>
      <c r="D6" s="10" t="s">
        <v>58</v>
      </c>
      <c r="E6" s="10" t="s">
        <v>59</v>
      </c>
      <c r="F6" s="10">
        <f>IF(AND(D6&lt;&gt;"",E6&lt;&gt;""),((TIMEVALUE(E6)-TIMEVALUE(D6))*24*60),"")</f>
      </c>
      <c r="G6" s="10">
        <v>53</v>
      </c>
      <c r="H6" s="10" t="s">
        <v>60</v>
      </c>
      <c r="I6" s="10">
        <f>IF(G6="","Pending",IF(G6&gt;=J6,"Accepted",IF(G6&gt;=(J6-Configuration!$C$5),"Tolerance","Refusal")))</f>
      </c>
      <c r="J6" s="10">
        <f>IFERROR(VLOOKUP(B6,'Plot Plan'!$A:$D,4,FALSE),"")</f>
      </c>
      <c r="K6" s="10">
        <f>IFERROR(VLOOKUP(B6,'Plot Plan'!$A:$B,2,FALSE),"")</f>
      </c>
      <c r="L6" s="10">
        <f>IFERROR(VLOOKUP(B6,'Plot Plan'!$A:$C,3,FALSE),"")</f>
      </c>
    </row>
    <row r="7" spans="1:12" x14ac:dyDescent="0.25">
      <c r="A7" s="13"/>
      <c r="B7" s="11"/>
      <c r="C7" s="11"/>
      <c r="D7" s="11"/>
      <c r="E7" s="11"/>
      <c r="F7" s="11">
        <f>IF(AND(D7&lt;&gt;"",E7&lt;&gt;""),((TIMEVALUE(E7)-TIMEVALUE(D7))*24*60),"")</f>
      </c>
      <c r="G7" s="11"/>
      <c r="H7" s="11"/>
      <c r="I7" s="11">
        <f>IF(G7="","Pending",IF(G7&gt;=J7,"Accepted",IF(G7&gt;=(J7-Configuration!$C$5),"Tolerance","Refusal")))</f>
      </c>
      <c r="J7" s="11">
        <f>IFERROR(VLOOKUP(B7,'Plot Plan'!$A:$D,4,FALSE),"")</f>
      </c>
      <c r="K7" s="11">
        <f>IFERROR(VLOOKUP(B7,'Plot Plan'!$A:$B,2,FALSE),"")</f>
      </c>
      <c r="L7" s="11">
        <f>IFERROR(VLOOKUP(B7,'Plot Plan'!$A:$C,3,FALSE),"")</f>
      </c>
    </row>
    <row r="8" spans="1:12" s="8" customFormat="1" x14ac:dyDescent="0.25">
      <c r="A8" s="12"/>
      <c r="B8" s="10"/>
      <c r="C8" s="10"/>
      <c r="D8" s="10"/>
      <c r="E8" s="10"/>
      <c r="F8" s="10">
        <f>IF(AND(D8&lt;&gt;"",E8&lt;&gt;""),((TIMEVALUE(E8)-TIMEVALUE(D8))*24*60),"")</f>
      </c>
      <c r="G8" s="10"/>
      <c r="H8" s="10"/>
      <c r="I8" s="10">
        <f>IF(G8="","Pending",IF(G8&gt;=J8,"Accepted",IF(G8&gt;=(J8-Configuration!$C$5),"Tolerance","Refusal")))</f>
      </c>
      <c r="J8" s="10">
        <f>IFERROR(VLOOKUP(B8,'Plot Plan'!$A:$D,4,FALSE),"")</f>
      </c>
      <c r="K8" s="10">
        <f>IFERROR(VLOOKUP(B8,'Plot Plan'!$A:$B,2,FALSE),"")</f>
      </c>
      <c r="L8" s="10">
        <f>IFERROR(VLOOKUP(B8,'Plot Plan'!$A:$C,3,FALSE),"")</f>
      </c>
    </row>
    <row r="9" spans="1:12" x14ac:dyDescent="0.25">
      <c r="A9" s="13"/>
      <c r="B9" s="11"/>
      <c r="C9" s="11"/>
      <c r="D9" s="11"/>
      <c r="E9" s="11"/>
      <c r="F9" s="11">
        <f>IF(AND(D9&lt;&gt;"",E9&lt;&gt;""),((TIMEVALUE(E9)-TIMEVALUE(D9))*24*60),"")</f>
      </c>
      <c r="G9" s="11"/>
      <c r="H9" s="11"/>
      <c r="I9" s="11">
        <f>IF(G9="","Pending",IF(G9&gt;=J9,"Accepted",IF(G9&gt;=(J9-Configuration!$C$5),"Tolerance","Refusal")))</f>
      </c>
      <c r="J9" s="11">
        <f>IFERROR(VLOOKUP(B9,'Plot Plan'!$A:$D,4,FALSE),"")</f>
      </c>
      <c r="K9" s="11">
        <f>IFERROR(VLOOKUP(B9,'Plot Plan'!$A:$B,2,FALSE),"")</f>
      </c>
      <c r="L9" s="11">
        <f>IFERROR(VLOOKUP(B9,'Plot Plan'!$A:$C,3,FALSE),"")</f>
      </c>
    </row>
    <row r="10" spans="1:12" s="8" customFormat="1" x14ac:dyDescent="0.25">
      <c r="A10" s="12"/>
      <c r="B10" s="10"/>
      <c r="C10" s="10"/>
      <c r="D10" s="10"/>
      <c r="E10" s="10"/>
      <c r="F10" s="10">
        <f>IF(AND(D10&lt;&gt;"",E10&lt;&gt;""),((TIMEVALUE(E10)-TIMEVALUE(D10))*24*60),"")</f>
      </c>
      <c r="G10" s="10"/>
      <c r="H10" s="10"/>
      <c r="I10" s="10">
        <f>IF(G10="","Pending",IF(G10&gt;=J10,"Accepted",IF(G10&gt;=(J10-Configuration!$C$5),"Tolerance","Refusal")))</f>
      </c>
      <c r="J10" s="10">
        <f>IFERROR(VLOOKUP(B10,'Plot Plan'!$A:$D,4,FALSE),"")</f>
      </c>
      <c r="K10" s="10">
        <f>IFERROR(VLOOKUP(B10,'Plot Plan'!$A:$B,2,FALSE),"")</f>
      </c>
      <c r="L10" s="10">
        <f>IFERROR(VLOOKUP(B10,'Plot Plan'!$A:$C,3,FALSE),"")</f>
      </c>
    </row>
    <row r="11" spans="1:12" x14ac:dyDescent="0.25">
      <c r="A11" s="13"/>
      <c r="B11" s="11"/>
      <c r="C11" s="11"/>
      <c r="D11" s="11"/>
      <c r="E11" s="11"/>
      <c r="F11" s="11">
        <f>IF(AND(D11&lt;&gt;"",E11&lt;&gt;""),((TIMEVALUE(E11)-TIMEVALUE(D11))*24*60),"")</f>
      </c>
      <c r="G11" s="11"/>
      <c r="H11" s="11"/>
      <c r="I11" s="11">
        <f>IF(G11="","Pending",IF(G11&gt;=J11,"Accepted",IF(G11&gt;=(J11-Configuration!$C$5),"Tolerance","Refusal")))</f>
      </c>
      <c r="J11" s="11">
        <f>IFERROR(VLOOKUP(B11,'Plot Plan'!$A:$D,4,FALSE),"")</f>
      </c>
      <c r="K11" s="11">
        <f>IFERROR(VLOOKUP(B11,'Plot Plan'!$A:$B,2,FALSE),"")</f>
      </c>
      <c r="L11" s="11">
        <f>IFERROR(VLOOKUP(B11,'Plot Plan'!$A:$C,3,FALSE),"")</f>
      </c>
    </row>
    <row r="12" spans="1:12" s="8" customFormat="1" x14ac:dyDescent="0.25">
      <c r="A12" s="12"/>
      <c r="B12" s="10"/>
      <c r="C12" s="10"/>
      <c r="D12" s="10"/>
      <c r="E12" s="10"/>
      <c r="F12" s="10">
        <f>IF(AND(D12&lt;&gt;"",E12&lt;&gt;""),((TIMEVALUE(E12)-TIMEVALUE(D12))*24*60),"")</f>
      </c>
      <c r="G12" s="10"/>
      <c r="H12" s="10"/>
      <c r="I12" s="10">
        <f>IF(G12="","Pending",IF(G12&gt;=J12,"Accepted",IF(G12&gt;=(J12-Configuration!$C$5),"Tolerance","Refusal")))</f>
      </c>
      <c r="J12" s="10">
        <f>IFERROR(VLOOKUP(B12,'Plot Plan'!$A:$D,4,FALSE),"")</f>
      </c>
      <c r="K12" s="10">
        <f>IFERROR(VLOOKUP(B12,'Plot Plan'!$A:$B,2,FALSE),"")</f>
      </c>
      <c r="L12" s="10">
        <f>IFERROR(VLOOKUP(B12,'Plot Plan'!$A:$C,3,FALSE),"")</f>
      </c>
    </row>
    <row r="13" spans="1:12" x14ac:dyDescent="0.25">
      <c r="A13" s="13"/>
      <c r="B13" s="11"/>
      <c r="C13" s="11"/>
      <c r="D13" s="11"/>
      <c r="E13" s="11"/>
      <c r="F13" s="11">
        <f>IF(AND(D13&lt;&gt;"",E13&lt;&gt;""),((TIMEVALUE(E13)-TIMEVALUE(D13))*24*60),"")</f>
      </c>
      <c r="G13" s="11"/>
      <c r="H13" s="11"/>
      <c r="I13" s="11">
        <f>IF(G13="","Pending",IF(G13&gt;=J13,"Accepted",IF(G13&gt;=(J13-Configuration!$C$5),"Tolerance","Refusal")))</f>
      </c>
      <c r="J13" s="11">
        <f>IFERROR(VLOOKUP(B13,'Plot Plan'!$A:$D,4,FALSE),"")</f>
      </c>
      <c r="K13" s="11">
        <f>IFERROR(VLOOKUP(B13,'Plot Plan'!$A:$B,2,FALSE),"")</f>
      </c>
      <c r="L13" s="11">
        <f>IFERROR(VLOOKUP(B13,'Plot Plan'!$A:$C,3,FALSE),"")</f>
      </c>
    </row>
    <row r="14" spans="1:12" s="8" customFormat="1" x14ac:dyDescent="0.25">
      <c r="A14" s="12"/>
      <c r="B14" s="10"/>
      <c r="C14" s="10"/>
      <c r="D14" s="10"/>
      <c r="E14" s="10"/>
      <c r="F14" s="10">
        <f>IF(AND(D14&lt;&gt;"",E14&lt;&gt;""),((TIMEVALUE(E14)-TIMEVALUE(D14))*24*60),"")</f>
      </c>
      <c r="G14" s="10"/>
      <c r="H14" s="10"/>
      <c r="I14" s="10">
        <f>IF(G14="","Pending",IF(G14&gt;=J14,"Accepted",IF(G14&gt;=(J14-Configuration!$C$5),"Tolerance","Refusal")))</f>
      </c>
      <c r="J14" s="10">
        <f>IFERROR(VLOOKUP(B14,'Plot Plan'!$A:$D,4,FALSE),"")</f>
      </c>
      <c r="K14" s="10">
        <f>IFERROR(VLOOKUP(B14,'Plot Plan'!$A:$B,2,FALSE),"")</f>
      </c>
      <c r="L14" s="10">
        <f>IFERROR(VLOOKUP(B14,'Plot Plan'!$A:$C,3,FALSE),"")</f>
      </c>
    </row>
    <row r="15" spans="1:12" x14ac:dyDescent="0.25">
      <c r="A15" s="13"/>
      <c r="B15" s="11"/>
      <c r="C15" s="11"/>
      <c r="D15" s="11"/>
      <c r="E15" s="11"/>
      <c r="F15" s="11">
        <f>IF(AND(D15&lt;&gt;"",E15&lt;&gt;""),((TIMEVALUE(E15)-TIMEVALUE(D15))*24*60),"")</f>
      </c>
      <c r="G15" s="11"/>
      <c r="H15" s="11"/>
      <c r="I15" s="11">
        <f>IF(G15="","Pending",IF(G15&gt;=J15,"Accepted",IF(G15&gt;=(J15-Configuration!$C$5),"Tolerance","Refusal")))</f>
      </c>
      <c r="J15" s="11">
        <f>IFERROR(VLOOKUP(B15,'Plot Plan'!$A:$D,4,FALSE),"")</f>
      </c>
      <c r="K15" s="11">
        <f>IFERROR(VLOOKUP(B15,'Plot Plan'!$A:$B,2,FALSE),"")</f>
      </c>
      <c r="L15" s="11">
        <f>IFERROR(VLOOKUP(B15,'Plot Plan'!$A:$C,3,FALSE),"")</f>
      </c>
    </row>
    <row r="16" spans="1:12" s="8" customFormat="1" x14ac:dyDescent="0.25">
      <c r="A16" s="12"/>
      <c r="B16" s="10"/>
      <c r="C16" s="10"/>
      <c r="D16" s="10"/>
      <c r="E16" s="10"/>
      <c r="F16" s="10">
        <f>IF(AND(D16&lt;&gt;"",E16&lt;&gt;""),((TIMEVALUE(E16)-TIMEVALUE(D16))*24*60),"")</f>
      </c>
      <c r="G16" s="10"/>
      <c r="H16" s="10"/>
      <c r="I16" s="10">
        <f>IF(G16="","Pending",IF(G16&gt;=J16,"Accepted",IF(G16&gt;=(J16-Configuration!$C$5),"Tolerance","Refusal")))</f>
      </c>
      <c r="J16" s="10">
        <f>IFERROR(VLOOKUP(B16,'Plot Plan'!$A:$D,4,FALSE),"")</f>
      </c>
      <c r="K16" s="10">
        <f>IFERROR(VLOOKUP(B16,'Plot Plan'!$A:$B,2,FALSE),"")</f>
      </c>
      <c r="L16" s="10">
        <f>IFERROR(VLOOKUP(B16,'Plot Plan'!$A:$C,3,FALSE),"")</f>
      </c>
    </row>
    <row r="17" spans="1:12" x14ac:dyDescent="0.25">
      <c r="A17" s="13"/>
      <c r="B17" s="11"/>
      <c r="C17" s="11"/>
      <c r="D17" s="11"/>
      <c r="E17" s="11"/>
      <c r="F17" s="11">
        <f>IF(AND(D17&lt;&gt;"",E17&lt;&gt;""),((TIMEVALUE(E17)-TIMEVALUE(D17))*24*60),"")</f>
      </c>
      <c r="G17" s="11"/>
      <c r="H17" s="11"/>
      <c r="I17" s="11">
        <f>IF(G17="","Pending",IF(G17&gt;=J17,"Accepted",IF(G17&gt;=(J17-Configuration!$C$5),"Tolerance","Refusal")))</f>
      </c>
      <c r="J17" s="11">
        <f>IFERROR(VLOOKUP(B17,'Plot Plan'!$A:$D,4,FALSE),"")</f>
      </c>
      <c r="K17" s="11">
        <f>IFERROR(VLOOKUP(B17,'Plot Plan'!$A:$B,2,FALSE),"")</f>
      </c>
      <c r="L17" s="11">
        <f>IFERROR(VLOOKUP(B17,'Plot Plan'!$A:$C,3,FALSE),"")</f>
      </c>
    </row>
    <row r="18" spans="1:12" s="8" customFormat="1" x14ac:dyDescent="0.25">
      <c r="A18" s="12"/>
      <c r="B18" s="10"/>
      <c r="C18" s="10"/>
      <c r="D18" s="10"/>
      <c r="E18" s="10"/>
      <c r="F18" s="10">
        <f>IF(AND(D18&lt;&gt;"",E18&lt;&gt;""),((TIMEVALUE(E18)-TIMEVALUE(D18))*24*60),"")</f>
      </c>
      <c r="G18" s="10"/>
      <c r="H18" s="10"/>
      <c r="I18" s="10">
        <f>IF(G18="","Pending",IF(G18&gt;=J18,"Accepted",IF(G18&gt;=(J18-Configuration!$C$5),"Tolerance","Refusal")))</f>
      </c>
      <c r="J18" s="10">
        <f>IFERROR(VLOOKUP(B18,'Plot Plan'!$A:$D,4,FALSE),"")</f>
      </c>
      <c r="K18" s="10">
        <f>IFERROR(VLOOKUP(B18,'Plot Plan'!$A:$B,2,FALSE),"")</f>
      </c>
      <c r="L18" s="10">
        <f>IFERROR(VLOOKUP(B18,'Plot Plan'!$A:$C,3,FALSE),"")</f>
      </c>
    </row>
    <row r="19" spans="1:12" x14ac:dyDescent="0.25">
      <c r="A19" s="13"/>
      <c r="B19" s="11"/>
      <c r="C19" s="11"/>
      <c r="D19" s="11"/>
      <c r="E19" s="11"/>
      <c r="F19" s="11">
        <f>IF(AND(D19&lt;&gt;"",E19&lt;&gt;""),((TIMEVALUE(E19)-TIMEVALUE(D19))*24*60),"")</f>
      </c>
      <c r="G19" s="11"/>
      <c r="H19" s="11"/>
      <c r="I19" s="11">
        <f>IF(G19="","Pending",IF(G19&gt;=J19,"Accepted",IF(G19&gt;=(J19-Configuration!$C$5),"Tolerance","Refusal")))</f>
      </c>
      <c r="J19" s="11">
        <f>IFERROR(VLOOKUP(B19,'Plot Plan'!$A:$D,4,FALSE),"")</f>
      </c>
      <c r="K19" s="11">
        <f>IFERROR(VLOOKUP(B19,'Plot Plan'!$A:$B,2,FALSE),"")</f>
      </c>
      <c r="L19" s="11">
        <f>IFERROR(VLOOKUP(B19,'Plot Plan'!$A:$C,3,FALSE),"")</f>
      </c>
    </row>
    <row r="20" spans="1:12" s="8" customFormat="1" x14ac:dyDescent="0.25">
      <c r="A20" s="12"/>
      <c r="B20" s="10"/>
      <c r="C20" s="10"/>
      <c r="D20" s="10"/>
      <c r="E20" s="10"/>
      <c r="F20" s="10">
        <f>IF(AND(D20&lt;&gt;"",E20&lt;&gt;""),((TIMEVALUE(E20)-TIMEVALUE(D20))*24*60),"")</f>
      </c>
      <c r="G20" s="10"/>
      <c r="H20" s="10"/>
      <c r="I20" s="10">
        <f>IF(G20="","Pending",IF(G20&gt;=J20,"Accepted",IF(G20&gt;=(J20-Configuration!$C$5),"Tolerance","Refusal")))</f>
      </c>
      <c r="J20" s="10">
        <f>IFERROR(VLOOKUP(B20,'Plot Plan'!$A:$D,4,FALSE),"")</f>
      </c>
      <c r="K20" s="10">
        <f>IFERROR(VLOOKUP(B20,'Plot Plan'!$A:$B,2,FALSE),"")</f>
      </c>
      <c r="L20" s="10">
        <f>IFERROR(VLOOKUP(B20,'Plot Plan'!$A:$C,3,FALSE),"")</f>
      </c>
    </row>
    <row r="21" spans="1:12" x14ac:dyDescent="0.25">
      <c r="A21" s="13"/>
      <c r="B21" s="11"/>
      <c r="C21" s="11"/>
      <c r="D21" s="11"/>
      <c r="E21" s="11"/>
      <c r="F21" s="11">
        <f>IF(AND(D21&lt;&gt;"",E21&lt;&gt;""),((TIMEVALUE(E21)-TIMEVALUE(D21))*24*60),"")</f>
      </c>
      <c r="G21" s="11"/>
      <c r="H21" s="11"/>
      <c r="I21" s="11">
        <f>IF(G21="","Pending",IF(G21&gt;=J21,"Accepted",IF(G21&gt;=(J21-Configuration!$C$5),"Tolerance","Refusal")))</f>
      </c>
      <c r="J21" s="11">
        <f>IFERROR(VLOOKUP(B21,'Plot Plan'!$A:$D,4,FALSE),"")</f>
      </c>
      <c r="K21" s="11">
        <f>IFERROR(VLOOKUP(B21,'Plot Plan'!$A:$B,2,FALSE),"")</f>
      </c>
      <c r="L21" s="11">
        <f>IFERROR(VLOOKUP(B21,'Plot Plan'!$A:$C,3,FALSE),"")</f>
      </c>
    </row>
    <row r="22" spans="1:12" s="8" customFormat="1" x14ac:dyDescent="0.25">
      <c r="A22" s="12"/>
      <c r="B22" s="10"/>
      <c r="C22" s="10"/>
      <c r="D22" s="10"/>
      <c r="E22" s="10"/>
      <c r="F22" s="10">
        <f>IF(AND(D22&lt;&gt;"",E22&lt;&gt;""),((TIMEVALUE(E22)-TIMEVALUE(D22))*24*60),"")</f>
      </c>
      <c r="G22" s="10"/>
      <c r="H22" s="10"/>
      <c r="I22" s="10">
        <f>IF(G22="","Pending",IF(G22&gt;=J22,"Accepted",IF(G22&gt;=(J22-Configuration!$C$5),"Tolerance","Refusal")))</f>
      </c>
      <c r="J22" s="10">
        <f>IFERROR(VLOOKUP(B22,'Plot Plan'!$A:$D,4,FALSE),"")</f>
      </c>
      <c r="K22" s="10">
        <f>IFERROR(VLOOKUP(B22,'Plot Plan'!$A:$B,2,FALSE),"")</f>
      </c>
      <c r="L22" s="10">
        <f>IFERROR(VLOOKUP(B22,'Plot Plan'!$A:$C,3,FALSE),"")</f>
      </c>
    </row>
    <row r="23" spans="1:12" x14ac:dyDescent="0.25">
      <c r="A23" s="13"/>
      <c r="B23" s="11"/>
      <c r="C23" s="11"/>
      <c r="D23" s="11"/>
      <c r="E23" s="11"/>
      <c r="F23" s="11">
        <f>IF(AND(D23&lt;&gt;"",E23&lt;&gt;""),((TIMEVALUE(E23)-TIMEVALUE(D23))*24*60),"")</f>
      </c>
      <c r="G23" s="11"/>
      <c r="H23" s="11"/>
      <c r="I23" s="11">
        <f>IF(G23="","Pending",IF(G23&gt;=J23,"Accepted",IF(G23&gt;=(J23-Configuration!$C$5),"Tolerance","Refusal")))</f>
      </c>
      <c r="J23" s="11">
        <f>IFERROR(VLOOKUP(B23,'Plot Plan'!$A:$D,4,FALSE),"")</f>
      </c>
      <c r="K23" s="11">
        <f>IFERROR(VLOOKUP(B23,'Plot Plan'!$A:$B,2,FALSE),"")</f>
      </c>
      <c r="L23" s="11">
        <f>IFERROR(VLOOKUP(B23,'Plot Plan'!$A:$C,3,FALSE),"")</f>
      </c>
    </row>
    <row r="24" spans="1:12" s="8" customFormat="1" x14ac:dyDescent="0.25">
      <c r="A24" s="12"/>
      <c r="B24" s="10"/>
      <c r="C24" s="10"/>
      <c r="D24" s="10"/>
      <c r="E24" s="10"/>
      <c r="F24" s="10">
        <f>IF(AND(D24&lt;&gt;"",E24&lt;&gt;""),((TIMEVALUE(E24)-TIMEVALUE(D24))*24*60),"")</f>
      </c>
      <c r="G24" s="10"/>
      <c r="H24" s="10"/>
      <c r="I24" s="10">
        <f>IF(G24="","Pending",IF(G24&gt;=J24,"Accepted",IF(G24&gt;=(J24-Configuration!$C$5),"Tolerance","Refusal")))</f>
      </c>
      <c r="J24" s="10">
        <f>IFERROR(VLOOKUP(B24,'Plot Plan'!$A:$D,4,FALSE),"")</f>
      </c>
      <c r="K24" s="10">
        <f>IFERROR(VLOOKUP(B24,'Plot Plan'!$A:$B,2,FALSE),"")</f>
      </c>
      <c r="L24" s="10">
        <f>IFERROR(VLOOKUP(B24,'Plot Plan'!$A:$C,3,FALSE),"")</f>
      </c>
    </row>
    <row r="25" spans="1:12" x14ac:dyDescent="0.25">
      <c r="A25" s="13"/>
      <c r="B25" s="11"/>
      <c r="C25" s="11"/>
      <c r="D25" s="11"/>
      <c r="E25" s="11"/>
      <c r="F25" s="11">
        <f>IF(AND(D25&lt;&gt;"",E25&lt;&gt;""),((TIMEVALUE(E25)-TIMEVALUE(D25))*24*60),"")</f>
      </c>
      <c r="G25" s="11"/>
      <c r="H25" s="11"/>
      <c r="I25" s="11">
        <f>IF(G25="","Pending",IF(G25&gt;=J25,"Accepted",IF(G25&gt;=(J25-Configuration!$C$5),"Tolerance","Refusal")))</f>
      </c>
      <c r="J25" s="11">
        <f>IFERROR(VLOOKUP(B25,'Plot Plan'!$A:$D,4,FALSE),"")</f>
      </c>
      <c r="K25" s="11">
        <f>IFERROR(VLOOKUP(B25,'Plot Plan'!$A:$B,2,FALSE),"")</f>
      </c>
      <c r="L25" s="11">
        <f>IFERROR(VLOOKUP(B25,'Plot Plan'!$A:$C,3,FALSE),"")</f>
      </c>
    </row>
    <row r="26" spans="1:12" s="8" customFormat="1" x14ac:dyDescent="0.25">
      <c r="A26" s="12"/>
      <c r="B26" s="10"/>
      <c r="C26" s="10"/>
      <c r="D26" s="10"/>
      <c r="E26" s="10"/>
      <c r="F26" s="10">
        <f>IF(AND(D26&lt;&gt;"",E26&lt;&gt;""),((TIMEVALUE(E26)-TIMEVALUE(D26))*24*60),"")</f>
      </c>
      <c r="G26" s="10"/>
      <c r="H26" s="10"/>
      <c r="I26" s="10">
        <f>IF(G26="","Pending",IF(G26&gt;=J26,"Accepted",IF(G26&gt;=(J26-Configuration!$C$5),"Tolerance","Refusal")))</f>
      </c>
      <c r="J26" s="10">
        <f>IFERROR(VLOOKUP(B26,'Plot Plan'!$A:$D,4,FALSE),"")</f>
      </c>
      <c r="K26" s="10">
        <f>IFERROR(VLOOKUP(B26,'Plot Plan'!$A:$B,2,FALSE),"")</f>
      </c>
      <c r="L26" s="10">
        <f>IFERROR(VLOOKUP(B26,'Plot Plan'!$A:$C,3,FALSE),"")</f>
      </c>
    </row>
    <row r="27" spans="1:12" x14ac:dyDescent="0.25">
      <c r="A27" s="13"/>
      <c r="B27" s="11"/>
      <c r="C27" s="11"/>
      <c r="D27" s="11"/>
      <c r="E27" s="11"/>
      <c r="F27" s="11">
        <f>IF(AND(D27&lt;&gt;"",E27&lt;&gt;""),((TIMEVALUE(E27)-TIMEVALUE(D27))*24*60),"")</f>
      </c>
      <c r="G27" s="11"/>
      <c r="H27" s="11"/>
      <c r="I27" s="11">
        <f>IF(G27="","Pending",IF(G27&gt;=J27,"Accepted",IF(G27&gt;=(J27-Configuration!$C$5),"Tolerance","Refusal")))</f>
      </c>
      <c r="J27" s="11">
        <f>IFERROR(VLOOKUP(B27,'Plot Plan'!$A:$D,4,FALSE),"")</f>
      </c>
      <c r="K27" s="11">
        <f>IFERROR(VLOOKUP(B27,'Plot Plan'!$A:$B,2,FALSE),"")</f>
      </c>
      <c r="L27" s="11">
        <f>IFERROR(VLOOKUP(B27,'Plot Plan'!$A:$C,3,FALSE),"")</f>
      </c>
    </row>
    <row r="28" spans="1:12" s="8" customFormat="1" x14ac:dyDescent="0.25">
      <c r="A28" s="12"/>
      <c r="B28" s="10"/>
      <c r="C28" s="10"/>
      <c r="D28" s="10"/>
      <c r="E28" s="10"/>
      <c r="F28" s="10">
        <f>IF(AND(D28&lt;&gt;"",E28&lt;&gt;""),((TIMEVALUE(E28)-TIMEVALUE(D28))*24*60),"")</f>
      </c>
      <c r="G28" s="10"/>
      <c r="H28" s="10"/>
      <c r="I28" s="10">
        <f>IF(G28="","Pending",IF(G28&gt;=J28,"Accepted",IF(G28&gt;=(J28-Configuration!$C$5),"Tolerance","Refusal")))</f>
      </c>
      <c r="J28" s="10">
        <f>IFERROR(VLOOKUP(B28,'Plot Plan'!$A:$D,4,FALSE),"")</f>
      </c>
      <c r="K28" s="10">
        <f>IFERROR(VLOOKUP(B28,'Plot Plan'!$A:$B,2,FALSE),"")</f>
      </c>
      <c r="L28" s="10">
        <f>IFERROR(VLOOKUP(B28,'Plot Plan'!$A:$C,3,FALSE),"")</f>
      </c>
    </row>
    <row r="29" spans="1:12" x14ac:dyDescent="0.25">
      <c r="A29" s="13"/>
      <c r="B29" s="11"/>
      <c r="C29" s="11"/>
      <c r="D29" s="11"/>
      <c r="E29" s="11"/>
      <c r="F29" s="11">
        <f>IF(AND(D29&lt;&gt;"",E29&lt;&gt;""),((TIMEVALUE(E29)-TIMEVALUE(D29))*24*60),"")</f>
      </c>
      <c r="G29" s="11"/>
      <c r="H29" s="11"/>
      <c r="I29" s="11">
        <f>IF(G29="","Pending",IF(G29&gt;=J29,"Accepted",IF(G29&gt;=(J29-Configuration!$C$5),"Tolerance","Refusal")))</f>
      </c>
      <c r="J29" s="11">
        <f>IFERROR(VLOOKUP(B29,'Plot Plan'!$A:$D,4,FALSE),"")</f>
      </c>
      <c r="K29" s="11">
        <f>IFERROR(VLOOKUP(B29,'Plot Plan'!$A:$B,2,FALSE),"")</f>
      </c>
      <c r="L29" s="11">
        <f>IFERROR(VLOOKUP(B29,'Plot Plan'!$A:$C,3,FALSE),"")</f>
      </c>
    </row>
    <row r="30" spans="1:12" s="8" customFormat="1" x14ac:dyDescent="0.25">
      <c r="A30" s="12"/>
      <c r="B30" s="10"/>
      <c r="C30" s="10"/>
      <c r="D30" s="10"/>
      <c r="E30" s="10"/>
      <c r="F30" s="10">
        <f>IF(AND(D30&lt;&gt;"",E30&lt;&gt;""),((TIMEVALUE(E30)-TIMEVALUE(D30))*24*60),"")</f>
      </c>
      <c r="G30" s="10"/>
      <c r="H30" s="10"/>
      <c r="I30" s="10">
        <f>IF(G30="","Pending",IF(G30&gt;=J30,"Accepted",IF(G30&gt;=(J30-Configuration!$C$5),"Tolerance","Refusal")))</f>
      </c>
      <c r="J30" s="10">
        <f>IFERROR(VLOOKUP(B30,'Plot Plan'!$A:$D,4,FALSE),"")</f>
      </c>
      <c r="K30" s="10">
        <f>IFERROR(VLOOKUP(B30,'Plot Plan'!$A:$B,2,FALSE),"")</f>
      </c>
      <c r="L30" s="10">
        <f>IFERROR(VLOOKUP(B30,'Plot Plan'!$A:$C,3,FALSE),"")</f>
      </c>
    </row>
    <row r="31" spans="1:12" x14ac:dyDescent="0.25">
      <c r="A31" s="13"/>
      <c r="B31" s="11"/>
      <c r="C31" s="11"/>
      <c r="D31" s="11"/>
      <c r="E31" s="11"/>
      <c r="F31" s="11">
        <f>IF(AND(D31&lt;&gt;"",E31&lt;&gt;""),((TIMEVALUE(E31)-TIMEVALUE(D31))*24*60),"")</f>
      </c>
      <c r="G31" s="11"/>
      <c r="H31" s="11"/>
      <c r="I31" s="11">
        <f>IF(G31="","Pending",IF(G31&gt;=J31,"Accepted",IF(G31&gt;=(J31-Configuration!$C$5),"Tolerance","Refusal")))</f>
      </c>
      <c r="J31" s="11">
        <f>IFERROR(VLOOKUP(B31,'Plot Plan'!$A:$D,4,FALSE),"")</f>
      </c>
      <c r="K31" s="11">
        <f>IFERROR(VLOOKUP(B31,'Plot Plan'!$A:$B,2,FALSE),"")</f>
      </c>
      <c r="L31" s="11">
        <f>IFERROR(VLOOKUP(B31,'Plot Plan'!$A:$C,3,FALSE),"")</f>
      </c>
    </row>
    <row r="32" spans="1:12" s="8" customFormat="1" x14ac:dyDescent="0.25">
      <c r="A32" s="12"/>
      <c r="B32" s="10"/>
      <c r="C32" s="10"/>
      <c r="D32" s="10"/>
      <c r="E32" s="10"/>
      <c r="F32" s="10">
        <f>IF(AND(D32&lt;&gt;"",E32&lt;&gt;""),((TIMEVALUE(E32)-TIMEVALUE(D32))*24*60),"")</f>
      </c>
      <c r="G32" s="10"/>
      <c r="H32" s="10"/>
      <c r="I32" s="10">
        <f>IF(G32="","Pending",IF(G32&gt;=J32,"Accepted",IF(G32&gt;=(J32-Configuration!$C$5),"Tolerance","Refusal")))</f>
      </c>
      <c r="J32" s="10">
        <f>IFERROR(VLOOKUP(B32,'Plot Plan'!$A:$D,4,FALSE),"")</f>
      </c>
      <c r="K32" s="10">
        <f>IFERROR(VLOOKUP(B32,'Plot Plan'!$A:$B,2,FALSE),"")</f>
      </c>
      <c r="L32" s="10">
        <f>IFERROR(VLOOKUP(B32,'Plot Plan'!$A:$C,3,FALSE),"")</f>
      </c>
    </row>
    <row r="33" spans="1:12" x14ac:dyDescent="0.25">
      <c r="A33" s="13"/>
      <c r="B33" s="11"/>
      <c r="C33" s="11"/>
      <c r="D33" s="11"/>
      <c r="E33" s="11"/>
      <c r="F33" s="11">
        <f>IF(AND(D33&lt;&gt;"",E33&lt;&gt;""),((TIMEVALUE(E33)-TIMEVALUE(D33))*24*60),"")</f>
      </c>
      <c r="G33" s="11"/>
      <c r="H33" s="11"/>
      <c r="I33" s="11">
        <f>IF(G33="","Pending",IF(G33&gt;=J33,"Accepted",IF(G33&gt;=(J33-Configuration!$C$5),"Tolerance","Refusal")))</f>
      </c>
      <c r="J33" s="11">
        <f>IFERROR(VLOOKUP(B33,'Plot Plan'!$A:$D,4,FALSE),"")</f>
      </c>
      <c r="K33" s="11">
        <f>IFERROR(VLOOKUP(B33,'Plot Plan'!$A:$B,2,FALSE),"")</f>
      </c>
      <c r="L33" s="11">
        <f>IFERROR(VLOOKUP(B33,'Plot Plan'!$A:$C,3,FALSE),"")</f>
      </c>
    </row>
    <row r="34" spans="1:12" s="8" customFormat="1" x14ac:dyDescent="0.25">
      <c r="A34" s="12"/>
      <c r="B34" s="10"/>
      <c r="C34" s="10"/>
      <c r="D34" s="10"/>
      <c r="E34" s="10"/>
      <c r="F34" s="10">
        <f>IF(AND(D34&lt;&gt;"",E34&lt;&gt;""),((TIMEVALUE(E34)-TIMEVALUE(D34))*24*60),"")</f>
      </c>
      <c r="G34" s="10"/>
      <c r="H34" s="10"/>
      <c r="I34" s="10">
        <f>IF(G34="","Pending",IF(G34&gt;=J34,"Accepted",IF(G34&gt;=(J34-Configuration!$C$5),"Tolerance","Refusal")))</f>
      </c>
      <c r="J34" s="10">
        <f>IFERROR(VLOOKUP(B34,'Plot Plan'!$A:$D,4,FALSE),"")</f>
      </c>
      <c r="K34" s="10">
        <f>IFERROR(VLOOKUP(B34,'Plot Plan'!$A:$B,2,FALSE),"")</f>
      </c>
      <c r="L34" s="10">
        <f>IFERROR(VLOOKUP(B34,'Plot Plan'!$A:$C,3,FALSE),"")</f>
      </c>
    </row>
    <row r="35" spans="1:12" x14ac:dyDescent="0.25">
      <c r="A35" s="13"/>
      <c r="B35" s="11"/>
      <c r="C35" s="11"/>
      <c r="D35" s="11"/>
      <c r="E35" s="11"/>
      <c r="F35" s="11">
        <f>IF(AND(D35&lt;&gt;"",E35&lt;&gt;""),((TIMEVALUE(E35)-TIMEVALUE(D35))*24*60),"")</f>
      </c>
      <c r="G35" s="11"/>
      <c r="H35" s="11"/>
      <c r="I35" s="11">
        <f>IF(G35="","Pending",IF(G35&gt;=J35,"Accepted",IF(G35&gt;=(J35-Configuration!$C$5),"Tolerance","Refusal")))</f>
      </c>
      <c r="J35" s="11">
        <f>IFERROR(VLOOKUP(B35,'Plot Plan'!$A:$D,4,FALSE),"")</f>
      </c>
      <c r="K35" s="11">
        <f>IFERROR(VLOOKUP(B35,'Plot Plan'!$A:$B,2,FALSE),"")</f>
      </c>
      <c r="L35" s="11">
        <f>IFERROR(VLOOKUP(B35,'Plot Plan'!$A:$C,3,FALSE),"")</f>
      </c>
    </row>
    <row r="36" spans="1:12" s="8" customFormat="1" x14ac:dyDescent="0.25">
      <c r="A36" s="12"/>
      <c r="B36" s="10"/>
      <c r="C36" s="10"/>
      <c r="D36" s="10"/>
      <c r="E36" s="10"/>
      <c r="F36" s="10">
        <f>IF(AND(D36&lt;&gt;"",E36&lt;&gt;""),((TIMEVALUE(E36)-TIMEVALUE(D36))*24*60),"")</f>
      </c>
      <c r="G36" s="10"/>
      <c r="H36" s="10"/>
      <c r="I36" s="10">
        <f>IF(G36="","Pending",IF(G36&gt;=J36,"Accepted",IF(G36&gt;=(J36-Configuration!$C$5),"Tolerance","Refusal")))</f>
      </c>
      <c r="J36" s="10">
        <f>IFERROR(VLOOKUP(B36,'Plot Plan'!$A:$D,4,FALSE),"")</f>
      </c>
      <c r="K36" s="10">
        <f>IFERROR(VLOOKUP(B36,'Plot Plan'!$A:$B,2,FALSE),"")</f>
      </c>
      <c r="L36" s="10">
        <f>IFERROR(VLOOKUP(B36,'Plot Plan'!$A:$C,3,FALSE),"")</f>
      </c>
    </row>
    <row r="37" spans="1:12" x14ac:dyDescent="0.25">
      <c r="A37" s="13"/>
      <c r="B37" s="11"/>
      <c r="C37" s="11"/>
      <c r="D37" s="11"/>
      <c r="E37" s="11"/>
      <c r="F37" s="11">
        <f>IF(AND(D37&lt;&gt;"",E37&lt;&gt;""),((TIMEVALUE(E37)-TIMEVALUE(D37))*24*60),"")</f>
      </c>
      <c r="G37" s="11"/>
      <c r="H37" s="11"/>
      <c r="I37" s="11">
        <f>IF(G37="","Pending",IF(G37&gt;=J37,"Accepted",IF(G37&gt;=(J37-Configuration!$C$5),"Tolerance","Refusal")))</f>
      </c>
      <c r="J37" s="11">
        <f>IFERROR(VLOOKUP(B37,'Plot Plan'!$A:$D,4,FALSE),"")</f>
      </c>
      <c r="K37" s="11">
        <f>IFERROR(VLOOKUP(B37,'Plot Plan'!$A:$B,2,FALSE),"")</f>
      </c>
      <c r="L37" s="11">
        <f>IFERROR(VLOOKUP(B37,'Plot Plan'!$A:$C,3,FALSE),"")</f>
      </c>
    </row>
    <row r="38" spans="1:12" s="8" customFormat="1" x14ac:dyDescent="0.25">
      <c r="A38" s="12"/>
      <c r="B38" s="10"/>
      <c r="C38" s="10"/>
      <c r="D38" s="10"/>
      <c r="E38" s="10"/>
      <c r="F38" s="10">
        <f>IF(AND(D38&lt;&gt;"",E38&lt;&gt;""),((TIMEVALUE(E38)-TIMEVALUE(D38))*24*60),"")</f>
      </c>
      <c r="G38" s="10"/>
      <c r="H38" s="10"/>
      <c r="I38" s="10">
        <f>IF(G38="","Pending",IF(G38&gt;=J38,"Accepted",IF(G38&gt;=(J38-Configuration!$C$5),"Tolerance","Refusal")))</f>
      </c>
      <c r="J38" s="10">
        <f>IFERROR(VLOOKUP(B38,'Plot Plan'!$A:$D,4,FALSE),"")</f>
      </c>
      <c r="K38" s="10">
        <f>IFERROR(VLOOKUP(B38,'Plot Plan'!$A:$B,2,FALSE),"")</f>
      </c>
      <c r="L38" s="10">
        <f>IFERROR(VLOOKUP(B38,'Plot Plan'!$A:$C,3,FALSE),"")</f>
      </c>
    </row>
    <row r="39" spans="1:12" x14ac:dyDescent="0.25">
      <c r="A39" s="13"/>
      <c r="B39" s="11"/>
      <c r="C39" s="11"/>
      <c r="D39" s="11"/>
      <c r="E39" s="11"/>
      <c r="F39" s="11">
        <f>IF(AND(D39&lt;&gt;"",E39&lt;&gt;""),((TIMEVALUE(E39)-TIMEVALUE(D39))*24*60),"")</f>
      </c>
      <c r="G39" s="11"/>
      <c r="H39" s="11"/>
      <c r="I39" s="11">
        <f>IF(G39="","Pending",IF(G39&gt;=J39,"Accepted",IF(G39&gt;=(J39-Configuration!$C$5),"Tolerance","Refusal")))</f>
      </c>
      <c r="J39" s="11">
        <f>IFERROR(VLOOKUP(B39,'Plot Plan'!$A:$D,4,FALSE),"")</f>
      </c>
      <c r="K39" s="11">
        <f>IFERROR(VLOOKUP(B39,'Plot Plan'!$A:$B,2,FALSE),"")</f>
      </c>
      <c r="L39" s="11">
        <f>IFERROR(VLOOKUP(B39,'Plot Plan'!$A:$C,3,FALSE),"")</f>
      </c>
    </row>
    <row r="40" spans="1:12" s="8" customFormat="1" x14ac:dyDescent="0.25">
      <c r="A40" s="12"/>
      <c r="B40" s="10"/>
      <c r="C40" s="10"/>
      <c r="D40" s="10"/>
      <c r="E40" s="10"/>
      <c r="F40" s="10">
        <f>IF(AND(D40&lt;&gt;"",E40&lt;&gt;""),((TIMEVALUE(E40)-TIMEVALUE(D40))*24*60),"")</f>
      </c>
      <c r="G40" s="10"/>
      <c r="H40" s="10"/>
      <c r="I40" s="10">
        <f>IF(G40="","Pending",IF(G40&gt;=J40,"Accepted",IF(G40&gt;=(J40-Configuration!$C$5),"Tolerance","Refusal")))</f>
      </c>
      <c r="J40" s="10">
        <f>IFERROR(VLOOKUP(B40,'Plot Plan'!$A:$D,4,FALSE),"")</f>
      </c>
      <c r="K40" s="10">
        <f>IFERROR(VLOOKUP(B40,'Plot Plan'!$A:$B,2,FALSE),"")</f>
      </c>
      <c r="L40" s="10">
        <f>IFERROR(VLOOKUP(B40,'Plot Plan'!$A:$C,3,FALSE),"")</f>
      </c>
    </row>
    <row r="41" spans="1:12" x14ac:dyDescent="0.25">
      <c r="A41" s="13"/>
      <c r="B41" s="11"/>
      <c r="C41" s="11"/>
      <c r="D41" s="11"/>
      <c r="E41" s="11"/>
      <c r="F41" s="11">
        <f>IF(AND(D41&lt;&gt;"",E41&lt;&gt;""),((TIMEVALUE(E41)-TIMEVALUE(D41))*24*60),"")</f>
      </c>
      <c r="G41" s="11"/>
      <c r="H41" s="11"/>
      <c r="I41" s="11">
        <f>IF(G41="","Pending",IF(G41&gt;=J41,"Accepted",IF(G41&gt;=(J41-Configuration!$C$5),"Tolerance","Refusal")))</f>
      </c>
      <c r="J41" s="11">
        <f>IFERROR(VLOOKUP(B41,'Plot Plan'!$A:$D,4,FALSE),"")</f>
      </c>
      <c r="K41" s="11">
        <f>IFERROR(VLOOKUP(B41,'Plot Plan'!$A:$B,2,FALSE),"")</f>
      </c>
      <c r="L41" s="11">
        <f>IFERROR(VLOOKUP(B41,'Plot Plan'!$A:$C,3,FALSE),"")</f>
      </c>
    </row>
    <row r="42" spans="1:12" s="8" customFormat="1" x14ac:dyDescent="0.25">
      <c r="A42" s="12"/>
      <c r="B42" s="10"/>
      <c r="C42" s="10"/>
      <c r="D42" s="10"/>
      <c r="E42" s="10"/>
      <c r="F42" s="10">
        <f>IF(AND(D42&lt;&gt;"",E42&lt;&gt;""),((TIMEVALUE(E42)-TIMEVALUE(D42))*24*60),"")</f>
      </c>
      <c r="G42" s="10"/>
      <c r="H42" s="10"/>
      <c r="I42" s="10">
        <f>IF(G42="","Pending",IF(G42&gt;=J42,"Accepted",IF(G42&gt;=(J42-Configuration!$C$5),"Tolerance","Refusal")))</f>
      </c>
      <c r="J42" s="10">
        <f>IFERROR(VLOOKUP(B42,'Plot Plan'!$A:$D,4,FALSE),"")</f>
      </c>
      <c r="K42" s="10">
        <f>IFERROR(VLOOKUP(B42,'Plot Plan'!$A:$B,2,FALSE),"")</f>
      </c>
      <c r="L42" s="10">
        <f>IFERROR(VLOOKUP(B42,'Plot Plan'!$A:$C,3,FALSE),"")</f>
      </c>
    </row>
    <row r="43" spans="1:12" x14ac:dyDescent="0.25">
      <c r="A43" s="13"/>
      <c r="B43" s="11"/>
      <c r="C43" s="11"/>
      <c r="D43" s="11"/>
      <c r="E43" s="11"/>
      <c r="F43" s="11">
        <f>IF(AND(D43&lt;&gt;"",E43&lt;&gt;""),((TIMEVALUE(E43)-TIMEVALUE(D43))*24*60),"")</f>
      </c>
      <c r="G43" s="11"/>
      <c r="H43" s="11"/>
      <c r="I43" s="11">
        <f>IF(G43="","Pending",IF(G43&gt;=J43,"Accepted",IF(G43&gt;=(J43-Configuration!$C$5),"Tolerance","Refusal")))</f>
      </c>
      <c r="J43" s="11">
        <f>IFERROR(VLOOKUP(B43,'Plot Plan'!$A:$D,4,FALSE),"")</f>
      </c>
      <c r="K43" s="11">
        <f>IFERROR(VLOOKUP(B43,'Plot Plan'!$A:$B,2,FALSE),"")</f>
      </c>
      <c r="L43" s="11">
        <f>IFERROR(VLOOKUP(B43,'Plot Plan'!$A:$C,3,FALSE),"")</f>
      </c>
    </row>
    <row r="44" spans="1:12" s="8" customFormat="1" x14ac:dyDescent="0.25">
      <c r="A44" s="12"/>
      <c r="B44" s="10"/>
      <c r="C44" s="10"/>
      <c r="D44" s="10"/>
      <c r="E44" s="10"/>
      <c r="F44" s="10">
        <f>IF(AND(D44&lt;&gt;"",E44&lt;&gt;""),((TIMEVALUE(E44)-TIMEVALUE(D44))*24*60),"")</f>
      </c>
      <c r="G44" s="10"/>
      <c r="H44" s="10"/>
      <c r="I44" s="10">
        <f>IF(G44="","Pending",IF(G44&gt;=J44,"Accepted",IF(G44&gt;=(J44-Configuration!$C$5),"Tolerance","Refusal")))</f>
      </c>
      <c r="J44" s="10">
        <f>IFERROR(VLOOKUP(B44,'Plot Plan'!$A:$D,4,FALSE),"")</f>
      </c>
      <c r="K44" s="10">
        <f>IFERROR(VLOOKUP(B44,'Plot Plan'!$A:$B,2,FALSE),"")</f>
      </c>
      <c r="L44" s="10">
        <f>IFERROR(VLOOKUP(B44,'Plot Plan'!$A:$C,3,FALSE),"")</f>
      </c>
    </row>
    <row r="45" spans="1:12" x14ac:dyDescent="0.25">
      <c r="A45" s="13"/>
      <c r="B45" s="11"/>
      <c r="C45" s="11"/>
      <c r="D45" s="11"/>
      <c r="E45" s="11"/>
      <c r="F45" s="11">
        <f>IF(AND(D45&lt;&gt;"",E45&lt;&gt;""),((TIMEVALUE(E45)-TIMEVALUE(D45))*24*60),"")</f>
      </c>
      <c r="G45" s="11"/>
      <c r="H45" s="11"/>
      <c r="I45" s="11">
        <f>IF(G45="","Pending",IF(G45&gt;=J45,"Accepted",IF(G45&gt;=(J45-Configuration!$C$5),"Tolerance","Refusal")))</f>
      </c>
      <c r="J45" s="11">
        <f>IFERROR(VLOOKUP(B45,'Plot Plan'!$A:$D,4,FALSE),"")</f>
      </c>
      <c r="K45" s="11">
        <f>IFERROR(VLOOKUP(B45,'Plot Plan'!$A:$B,2,FALSE),"")</f>
      </c>
      <c r="L45" s="11">
        <f>IFERROR(VLOOKUP(B45,'Plot Plan'!$A:$C,3,FALSE),"")</f>
      </c>
    </row>
    <row r="46" spans="1:12" s="8" customFormat="1" x14ac:dyDescent="0.25">
      <c r="A46" s="12"/>
      <c r="B46" s="10"/>
      <c r="C46" s="10"/>
      <c r="D46" s="10"/>
      <c r="E46" s="10"/>
      <c r="F46" s="10">
        <f>IF(AND(D46&lt;&gt;"",E46&lt;&gt;""),((TIMEVALUE(E46)-TIMEVALUE(D46))*24*60),"")</f>
      </c>
      <c r="G46" s="10"/>
      <c r="H46" s="10"/>
      <c r="I46" s="10">
        <f>IF(G46="","Pending",IF(G46&gt;=J46,"Accepted",IF(G46&gt;=(J46-Configuration!$C$5),"Tolerance","Refusal")))</f>
      </c>
      <c r="J46" s="10">
        <f>IFERROR(VLOOKUP(B46,'Plot Plan'!$A:$D,4,FALSE),"")</f>
      </c>
      <c r="K46" s="10">
        <f>IFERROR(VLOOKUP(B46,'Plot Plan'!$A:$B,2,FALSE),"")</f>
      </c>
      <c r="L46" s="10">
        <f>IFERROR(VLOOKUP(B46,'Plot Plan'!$A:$C,3,FALSE),"")</f>
      </c>
    </row>
    <row r="47" spans="1:12" x14ac:dyDescent="0.25">
      <c r="A47" s="13"/>
      <c r="B47" s="11"/>
      <c r="C47" s="11"/>
      <c r="D47" s="11"/>
      <c r="E47" s="11"/>
      <c r="F47" s="11">
        <f>IF(AND(D47&lt;&gt;"",E47&lt;&gt;""),((TIMEVALUE(E47)-TIMEVALUE(D47))*24*60),"")</f>
      </c>
      <c r="G47" s="11"/>
      <c r="H47" s="11"/>
      <c r="I47" s="11">
        <f>IF(G47="","Pending",IF(G47&gt;=J47,"Accepted",IF(G47&gt;=(J47-Configuration!$C$5),"Tolerance","Refusal")))</f>
      </c>
      <c r="J47" s="11">
        <f>IFERROR(VLOOKUP(B47,'Plot Plan'!$A:$D,4,FALSE),"")</f>
      </c>
      <c r="K47" s="11">
        <f>IFERROR(VLOOKUP(B47,'Plot Plan'!$A:$B,2,FALSE),"")</f>
      </c>
      <c r="L47" s="11">
        <f>IFERROR(VLOOKUP(B47,'Plot Plan'!$A:$C,3,FALSE),"")</f>
      </c>
    </row>
    <row r="48" spans="1:12" s="8" customFormat="1" x14ac:dyDescent="0.25">
      <c r="A48" s="12"/>
      <c r="B48" s="10"/>
      <c r="C48" s="10"/>
      <c r="D48" s="10"/>
      <c r="E48" s="10"/>
      <c r="F48" s="10">
        <f>IF(AND(D48&lt;&gt;"",E48&lt;&gt;""),((TIMEVALUE(E48)-TIMEVALUE(D48))*24*60),"")</f>
      </c>
      <c r="G48" s="10"/>
      <c r="H48" s="10"/>
      <c r="I48" s="10">
        <f>IF(G48="","Pending",IF(G48&gt;=J48,"Accepted",IF(G48&gt;=(J48-Configuration!$C$5),"Tolerance","Refusal")))</f>
      </c>
      <c r="J48" s="10">
        <f>IFERROR(VLOOKUP(B48,'Plot Plan'!$A:$D,4,FALSE),"")</f>
      </c>
      <c r="K48" s="10">
        <f>IFERROR(VLOOKUP(B48,'Plot Plan'!$A:$B,2,FALSE),"")</f>
      </c>
      <c r="L48" s="10">
        <f>IFERROR(VLOOKUP(B48,'Plot Plan'!$A:$C,3,FALSE),"")</f>
      </c>
    </row>
    <row r="49" spans="1:12" x14ac:dyDescent="0.25">
      <c r="A49" s="13"/>
      <c r="B49" s="11"/>
      <c r="C49" s="11"/>
      <c r="D49" s="11"/>
      <c r="E49" s="11"/>
      <c r="F49" s="11">
        <f>IF(AND(D49&lt;&gt;"",E49&lt;&gt;""),((TIMEVALUE(E49)-TIMEVALUE(D49))*24*60),"")</f>
      </c>
      <c r="G49" s="11"/>
      <c r="H49" s="11"/>
      <c r="I49" s="11">
        <f>IF(G49="","Pending",IF(G49&gt;=J49,"Accepted",IF(G49&gt;=(J49-Configuration!$C$5),"Tolerance","Refusal")))</f>
      </c>
      <c r="J49" s="11">
        <f>IFERROR(VLOOKUP(B49,'Plot Plan'!$A:$D,4,FALSE),"")</f>
      </c>
      <c r="K49" s="11">
        <f>IFERROR(VLOOKUP(B49,'Plot Plan'!$A:$B,2,FALSE),"")</f>
      </c>
      <c r="L49" s="11">
        <f>IFERROR(VLOOKUP(B49,'Plot Plan'!$A:$C,3,FALSE),"")</f>
      </c>
    </row>
    <row r="50" spans="1:12" s="8" customFormat="1" x14ac:dyDescent="0.25">
      <c r="A50" s="12"/>
      <c r="B50" s="10"/>
      <c r="C50" s="10"/>
      <c r="D50" s="10"/>
      <c r="E50" s="10"/>
      <c r="F50" s="10">
        <f>IF(AND(D50&lt;&gt;"",E50&lt;&gt;""),((TIMEVALUE(E50)-TIMEVALUE(D50))*24*60),"")</f>
      </c>
      <c r="G50" s="10"/>
      <c r="H50" s="10"/>
      <c r="I50" s="10">
        <f>IF(G50="","Pending",IF(G50&gt;=J50,"Accepted",IF(G50&gt;=(J50-Configuration!$C$5),"Tolerance","Refusal")))</f>
      </c>
      <c r="J50" s="10">
        <f>IFERROR(VLOOKUP(B50,'Plot Plan'!$A:$D,4,FALSE),"")</f>
      </c>
      <c r="K50" s="10">
        <f>IFERROR(VLOOKUP(B50,'Plot Plan'!$A:$B,2,FALSE),"")</f>
      </c>
      <c r="L50" s="10">
        <f>IFERROR(VLOOKUP(B50,'Plot Plan'!$A:$C,3,FALSE),"")</f>
      </c>
    </row>
    <row r="51" spans="1:12" x14ac:dyDescent="0.25">
      <c r="A51" s="13"/>
      <c r="B51" s="11"/>
      <c r="C51" s="11"/>
      <c r="D51" s="11"/>
      <c r="E51" s="11"/>
      <c r="F51" s="11">
        <f>IF(AND(D51&lt;&gt;"",E51&lt;&gt;""),((TIMEVALUE(E51)-TIMEVALUE(D51))*24*60),"")</f>
      </c>
      <c r="G51" s="11"/>
      <c r="H51" s="11"/>
      <c r="I51" s="11">
        <f>IF(G51="","Pending",IF(G51&gt;=J51,"Accepted",IF(G51&gt;=(J51-Configuration!$C$5),"Tolerance","Refusal")))</f>
      </c>
      <c r="J51" s="11">
        <f>IFERROR(VLOOKUP(B51,'Plot Plan'!$A:$D,4,FALSE),"")</f>
      </c>
      <c r="K51" s="11">
        <f>IFERROR(VLOOKUP(B51,'Plot Plan'!$A:$B,2,FALSE),"")</f>
      </c>
      <c r="L51" s="11">
        <f>IFERROR(VLOOKUP(B51,'Plot Plan'!$A:$C,3,FALSE),"")</f>
      </c>
    </row>
    <row r="52" spans="1:12" s="8" customFormat="1" x14ac:dyDescent="0.25">
      <c r="A52" s="12"/>
      <c r="B52" s="10"/>
      <c r="C52" s="10"/>
      <c r="D52" s="10"/>
      <c r="E52" s="10"/>
      <c r="F52" s="10">
        <f>IF(AND(D52&lt;&gt;"",E52&lt;&gt;""),((TIMEVALUE(E52)-TIMEVALUE(D52))*24*60),"")</f>
      </c>
      <c r="G52" s="10"/>
      <c r="H52" s="10"/>
      <c r="I52" s="10">
        <f>IF(G52="","Pending",IF(G52&gt;=J52,"Accepted",IF(G52&gt;=(J52-Configuration!$C$5),"Tolerance","Refusal")))</f>
      </c>
      <c r="J52" s="10">
        <f>IFERROR(VLOOKUP(B52,'Plot Plan'!$A:$D,4,FALSE),"")</f>
      </c>
      <c r="K52" s="10">
        <f>IFERROR(VLOOKUP(B52,'Plot Plan'!$A:$B,2,FALSE),"")</f>
      </c>
      <c r="L52" s="10">
        <f>IFERROR(VLOOKUP(B52,'Plot Plan'!$A:$C,3,FALSE),"")</f>
      </c>
    </row>
    <row r="53" spans="1:12" x14ac:dyDescent="0.25">
      <c r="A53" s="13"/>
      <c r="B53" s="11"/>
      <c r="C53" s="11"/>
      <c r="D53" s="11"/>
      <c r="E53" s="11"/>
      <c r="F53" s="11">
        <f>IF(AND(D53&lt;&gt;"",E53&lt;&gt;""),((TIMEVALUE(E53)-TIMEVALUE(D53))*24*60),"")</f>
      </c>
      <c r="G53" s="11"/>
      <c r="H53" s="11"/>
      <c r="I53" s="11">
        <f>IF(G53="","Pending",IF(G53&gt;=J53,"Accepted",IF(G53&gt;=(J53-Configuration!$C$5),"Tolerance","Refusal")))</f>
      </c>
      <c r="J53" s="11">
        <f>IFERROR(VLOOKUP(B53,'Plot Plan'!$A:$D,4,FALSE),"")</f>
      </c>
      <c r="K53" s="11">
        <f>IFERROR(VLOOKUP(B53,'Plot Plan'!$A:$B,2,FALSE),"")</f>
      </c>
      <c r="L53" s="11">
        <f>IFERROR(VLOOKUP(B53,'Plot Plan'!$A:$C,3,FALSE),"")</f>
      </c>
    </row>
    <row r="54" spans="1:12" s="8" customFormat="1" x14ac:dyDescent="0.25">
      <c r="A54" s="12"/>
      <c r="B54" s="10"/>
      <c r="C54" s="10"/>
      <c r="D54" s="10"/>
      <c r="E54" s="10"/>
      <c r="F54" s="10">
        <f>IF(AND(D54&lt;&gt;"",E54&lt;&gt;""),((TIMEVALUE(E54)-TIMEVALUE(D54))*24*60),"")</f>
      </c>
      <c r="G54" s="10"/>
      <c r="H54" s="10"/>
      <c r="I54" s="10">
        <f>IF(G54="","Pending",IF(G54&gt;=J54,"Accepted",IF(G54&gt;=(J54-Configuration!$C$5),"Tolerance","Refusal")))</f>
      </c>
      <c r="J54" s="10">
        <f>IFERROR(VLOOKUP(B54,'Plot Plan'!$A:$D,4,FALSE),"")</f>
      </c>
      <c r="K54" s="10">
        <f>IFERROR(VLOOKUP(B54,'Plot Plan'!$A:$B,2,FALSE),"")</f>
      </c>
      <c r="L54" s="10">
        <f>IFERROR(VLOOKUP(B54,'Plot Plan'!$A:$C,3,FALSE),"")</f>
      </c>
    </row>
    <row r="55" spans="1:12" x14ac:dyDescent="0.25">
      <c r="A55" s="13"/>
      <c r="B55" s="11"/>
      <c r="C55" s="11"/>
      <c r="D55" s="11"/>
      <c r="E55" s="11"/>
      <c r="F55" s="11">
        <f>IF(AND(D55&lt;&gt;"",E55&lt;&gt;""),((TIMEVALUE(E55)-TIMEVALUE(D55))*24*60),"")</f>
      </c>
      <c r="G55" s="11"/>
      <c r="H55" s="11"/>
      <c r="I55" s="11">
        <f>IF(G55="","Pending",IF(G55&gt;=J55,"Accepted",IF(G55&gt;=(J55-Configuration!$C$5),"Tolerance","Refusal")))</f>
      </c>
      <c r="J55" s="11">
        <f>IFERROR(VLOOKUP(B55,'Plot Plan'!$A:$D,4,FALSE),"")</f>
      </c>
      <c r="K55" s="11">
        <f>IFERROR(VLOOKUP(B55,'Plot Plan'!$A:$B,2,FALSE),"")</f>
      </c>
      <c r="L55" s="11">
        <f>IFERROR(VLOOKUP(B55,'Plot Plan'!$A:$C,3,FALSE),"")</f>
      </c>
    </row>
    <row r="56" spans="1:12" s="8" customFormat="1" x14ac:dyDescent="0.25">
      <c r="A56" s="12"/>
      <c r="B56" s="10"/>
      <c r="C56" s="10"/>
      <c r="D56" s="10"/>
      <c r="E56" s="10"/>
      <c r="F56" s="10">
        <f>IF(AND(D56&lt;&gt;"",E56&lt;&gt;""),((TIMEVALUE(E56)-TIMEVALUE(D56))*24*60),"")</f>
      </c>
      <c r="G56" s="10"/>
      <c r="H56" s="10"/>
      <c r="I56" s="10">
        <f>IF(G56="","Pending",IF(G56&gt;=J56,"Accepted",IF(G56&gt;=(J56-Configuration!$C$5),"Tolerance","Refusal")))</f>
      </c>
      <c r="J56" s="10">
        <f>IFERROR(VLOOKUP(B56,'Plot Plan'!$A:$D,4,FALSE),"")</f>
      </c>
      <c r="K56" s="10">
        <f>IFERROR(VLOOKUP(B56,'Plot Plan'!$A:$B,2,FALSE),"")</f>
      </c>
      <c r="L56" s="10">
        <f>IFERROR(VLOOKUP(B56,'Plot Plan'!$A:$C,3,FALSE),"")</f>
      </c>
    </row>
    <row r="57" spans="1:12" x14ac:dyDescent="0.25">
      <c r="A57" s="13"/>
      <c r="B57" s="11"/>
      <c r="C57" s="11"/>
      <c r="D57" s="11"/>
      <c r="E57" s="11"/>
      <c r="F57" s="11">
        <f>IF(AND(D57&lt;&gt;"",E57&lt;&gt;""),((TIMEVALUE(E57)-TIMEVALUE(D57))*24*60),"")</f>
      </c>
      <c r="G57" s="11"/>
      <c r="H57" s="11"/>
      <c r="I57" s="11">
        <f>IF(G57="","Pending",IF(G57&gt;=J57,"Accepted",IF(G57&gt;=(J57-Configuration!$C$5),"Tolerance","Refusal")))</f>
      </c>
      <c r="J57" s="11">
        <f>IFERROR(VLOOKUP(B57,'Plot Plan'!$A:$D,4,FALSE),"")</f>
      </c>
      <c r="K57" s="11">
        <f>IFERROR(VLOOKUP(B57,'Plot Plan'!$A:$B,2,FALSE),"")</f>
      </c>
      <c r="L57" s="11">
        <f>IFERROR(VLOOKUP(B57,'Plot Plan'!$A:$C,3,FALSE),"")</f>
      </c>
    </row>
    <row r="58" spans="1:12" s="8" customFormat="1" x14ac:dyDescent="0.25">
      <c r="A58" s="12"/>
      <c r="B58" s="10"/>
      <c r="C58" s="10"/>
      <c r="D58" s="10"/>
      <c r="E58" s="10"/>
      <c r="F58" s="10">
        <f>IF(AND(D58&lt;&gt;"",E58&lt;&gt;""),((TIMEVALUE(E58)-TIMEVALUE(D58))*24*60),"")</f>
      </c>
      <c r="G58" s="10"/>
      <c r="H58" s="10"/>
      <c r="I58" s="10">
        <f>IF(G58="","Pending",IF(G58&gt;=J58,"Accepted",IF(G58&gt;=(J58-Configuration!$C$5),"Tolerance","Refusal")))</f>
      </c>
      <c r="J58" s="10">
        <f>IFERROR(VLOOKUP(B58,'Plot Plan'!$A:$D,4,FALSE),"")</f>
      </c>
      <c r="K58" s="10">
        <f>IFERROR(VLOOKUP(B58,'Plot Plan'!$A:$B,2,FALSE),"")</f>
      </c>
      <c r="L58" s="10">
        <f>IFERROR(VLOOKUP(B58,'Plot Plan'!$A:$C,3,FALSE),"")</f>
      </c>
    </row>
    <row r="59" spans="1:12" x14ac:dyDescent="0.25">
      <c r="A59" s="13"/>
      <c r="B59" s="11"/>
      <c r="C59" s="11"/>
      <c r="D59" s="11"/>
      <c r="E59" s="11"/>
      <c r="F59" s="11">
        <f>IF(AND(D59&lt;&gt;"",E59&lt;&gt;""),((TIMEVALUE(E59)-TIMEVALUE(D59))*24*60),"")</f>
      </c>
      <c r="G59" s="11"/>
      <c r="H59" s="11"/>
      <c r="I59" s="11">
        <f>IF(G59="","Pending",IF(G59&gt;=J59,"Accepted",IF(G59&gt;=(J59-Configuration!$C$5),"Tolerance","Refusal")))</f>
      </c>
      <c r="J59" s="11">
        <f>IFERROR(VLOOKUP(B59,'Plot Plan'!$A:$D,4,FALSE),"")</f>
      </c>
      <c r="K59" s="11">
        <f>IFERROR(VLOOKUP(B59,'Plot Plan'!$A:$B,2,FALSE),"")</f>
      </c>
      <c r="L59" s="11">
        <f>IFERROR(VLOOKUP(B59,'Plot Plan'!$A:$C,3,FALSE),"")</f>
      </c>
    </row>
    <row r="60" spans="1:12" s="8" customFormat="1" x14ac:dyDescent="0.25">
      <c r="A60" s="12"/>
      <c r="B60" s="10"/>
      <c r="C60" s="10"/>
      <c r="D60" s="10"/>
      <c r="E60" s="10"/>
      <c r="F60" s="10">
        <f>IF(AND(D60&lt;&gt;"",E60&lt;&gt;""),((TIMEVALUE(E60)-TIMEVALUE(D60))*24*60),"")</f>
      </c>
      <c r="G60" s="10"/>
      <c r="H60" s="10"/>
      <c r="I60" s="10">
        <f>IF(G60="","Pending",IF(G60&gt;=J60,"Accepted",IF(G60&gt;=(J60-Configuration!$C$5),"Tolerance","Refusal")))</f>
      </c>
      <c r="J60" s="10">
        <f>IFERROR(VLOOKUP(B60,'Plot Plan'!$A:$D,4,FALSE),"")</f>
      </c>
      <c r="K60" s="10">
        <f>IFERROR(VLOOKUP(B60,'Plot Plan'!$A:$B,2,FALSE),"")</f>
      </c>
      <c r="L60" s="10">
        <f>IFERROR(VLOOKUP(B60,'Plot Plan'!$A:$C,3,FALSE),"")</f>
      </c>
    </row>
    <row r="61" spans="1:12" x14ac:dyDescent="0.25">
      <c r="A61" s="13"/>
      <c r="B61" s="11"/>
      <c r="C61" s="11"/>
      <c r="D61" s="11"/>
      <c r="E61" s="11"/>
      <c r="F61" s="11">
        <f>IF(AND(D61&lt;&gt;"",E61&lt;&gt;""),((TIMEVALUE(E61)-TIMEVALUE(D61))*24*60),"")</f>
      </c>
      <c r="G61" s="11"/>
      <c r="H61" s="11"/>
      <c r="I61" s="11">
        <f>IF(G61="","Pending",IF(G61&gt;=J61,"Accepted",IF(G61&gt;=(J61-Configuration!$C$5),"Tolerance","Refusal")))</f>
      </c>
      <c r="J61" s="11">
        <f>IFERROR(VLOOKUP(B61,'Plot Plan'!$A:$D,4,FALSE),"")</f>
      </c>
      <c r="K61" s="11">
        <f>IFERROR(VLOOKUP(B61,'Plot Plan'!$A:$B,2,FALSE),"")</f>
      </c>
      <c r="L61" s="11">
        <f>IFERROR(VLOOKUP(B61,'Plot Plan'!$A:$C,3,FALSE),"")</f>
      </c>
    </row>
    <row r="62" spans="1:12" s="8" customFormat="1" x14ac:dyDescent="0.25">
      <c r="A62" s="12"/>
      <c r="B62" s="10"/>
      <c r="C62" s="10"/>
      <c r="D62" s="10"/>
      <c r="E62" s="10"/>
      <c r="F62" s="10">
        <f>IF(AND(D62&lt;&gt;"",E62&lt;&gt;""),((TIMEVALUE(E62)-TIMEVALUE(D62))*24*60),"")</f>
      </c>
      <c r="G62" s="10"/>
      <c r="H62" s="10"/>
      <c r="I62" s="10">
        <f>IF(G62="","Pending",IF(G62&gt;=J62,"Accepted",IF(G62&gt;=(J62-Configuration!$C$5),"Tolerance","Refusal")))</f>
      </c>
      <c r="J62" s="10">
        <f>IFERROR(VLOOKUP(B62,'Plot Plan'!$A:$D,4,FALSE),"")</f>
      </c>
      <c r="K62" s="10">
        <f>IFERROR(VLOOKUP(B62,'Plot Plan'!$A:$B,2,FALSE),"")</f>
      </c>
      <c r="L62" s="10">
        <f>IFERROR(VLOOKUP(B62,'Plot Plan'!$A:$C,3,FALSE),"")</f>
      </c>
    </row>
    <row r="63" spans="1:12" x14ac:dyDescent="0.25">
      <c r="A63" s="13"/>
      <c r="B63" s="11"/>
      <c r="C63" s="11"/>
      <c r="D63" s="11"/>
      <c r="E63" s="11"/>
      <c r="F63" s="11">
        <f>IF(AND(D63&lt;&gt;"",E63&lt;&gt;""),((TIMEVALUE(E63)-TIMEVALUE(D63))*24*60),"")</f>
      </c>
      <c r="G63" s="11"/>
      <c r="H63" s="11"/>
      <c r="I63" s="11">
        <f>IF(G63="","Pending",IF(G63&gt;=J63,"Accepted",IF(G63&gt;=(J63-Configuration!$C$5),"Tolerance","Refusal")))</f>
      </c>
      <c r="J63" s="11">
        <f>IFERROR(VLOOKUP(B63,'Plot Plan'!$A:$D,4,FALSE),"")</f>
      </c>
      <c r="K63" s="11">
        <f>IFERROR(VLOOKUP(B63,'Plot Plan'!$A:$B,2,FALSE),"")</f>
      </c>
      <c r="L63" s="11">
        <f>IFERROR(VLOOKUP(B63,'Plot Plan'!$A:$C,3,FALSE),"")</f>
      </c>
    </row>
    <row r="64" spans="1:12" s="8" customFormat="1" x14ac:dyDescent="0.25">
      <c r="A64" s="12"/>
      <c r="B64" s="10"/>
      <c r="C64" s="10"/>
      <c r="D64" s="10"/>
      <c r="E64" s="10"/>
      <c r="F64" s="10">
        <f>IF(AND(D64&lt;&gt;"",E64&lt;&gt;""),((TIMEVALUE(E64)-TIMEVALUE(D64))*24*60),"")</f>
      </c>
      <c r="G64" s="10"/>
      <c r="H64" s="10"/>
      <c r="I64" s="10">
        <f>IF(G64="","Pending",IF(G64&gt;=J64,"Accepted",IF(G64&gt;=(J64-Configuration!$C$5),"Tolerance","Refusal")))</f>
      </c>
      <c r="J64" s="10">
        <f>IFERROR(VLOOKUP(B64,'Plot Plan'!$A:$D,4,FALSE),"")</f>
      </c>
      <c r="K64" s="10">
        <f>IFERROR(VLOOKUP(B64,'Plot Plan'!$A:$B,2,FALSE),"")</f>
      </c>
      <c r="L64" s="10">
        <f>IFERROR(VLOOKUP(B64,'Plot Plan'!$A:$C,3,FALSE),"")</f>
      </c>
    </row>
    <row r="65" spans="1:12" x14ac:dyDescent="0.25">
      <c r="A65" s="13"/>
      <c r="B65" s="11"/>
      <c r="C65" s="11"/>
      <c r="D65" s="11"/>
      <c r="E65" s="11"/>
      <c r="F65" s="11">
        <f>IF(AND(D65&lt;&gt;"",E65&lt;&gt;""),((TIMEVALUE(E65)-TIMEVALUE(D65))*24*60),"")</f>
      </c>
      <c r="G65" s="11"/>
      <c r="H65" s="11"/>
      <c r="I65" s="11">
        <f>IF(G65="","Pending",IF(G65&gt;=J65,"Accepted",IF(G65&gt;=(J65-Configuration!$C$5),"Tolerance","Refusal")))</f>
      </c>
      <c r="J65" s="11">
        <f>IFERROR(VLOOKUP(B65,'Plot Plan'!$A:$D,4,FALSE),"")</f>
      </c>
      <c r="K65" s="11">
        <f>IFERROR(VLOOKUP(B65,'Plot Plan'!$A:$B,2,FALSE),"")</f>
      </c>
      <c r="L65" s="11">
        <f>IFERROR(VLOOKUP(B65,'Plot Plan'!$A:$C,3,FALSE),"")</f>
      </c>
    </row>
    <row r="66" spans="1:12" s="8" customFormat="1" x14ac:dyDescent="0.25">
      <c r="A66" s="12"/>
      <c r="B66" s="10"/>
      <c r="C66" s="10"/>
      <c r="D66" s="10"/>
      <c r="E66" s="10"/>
      <c r="F66" s="10">
        <f>IF(AND(D66&lt;&gt;"",E66&lt;&gt;""),((TIMEVALUE(E66)-TIMEVALUE(D66))*24*60),"")</f>
      </c>
      <c r="G66" s="10"/>
      <c r="H66" s="10"/>
      <c r="I66" s="10">
        <f>IF(G66="","Pending",IF(G66&gt;=J66,"Accepted",IF(G66&gt;=(J66-Configuration!$C$5),"Tolerance","Refusal")))</f>
      </c>
      <c r="J66" s="10">
        <f>IFERROR(VLOOKUP(B66,'Plot Plan'!$A:$D,4,FALSE),"")</f>
      </c>
      <c r="K66" s="10">
        <f>IFERROR(VLOOKUP(B66,'Plot Plan'!$A:$B,2,FALSE),"")</f>
      </c>
      <c r="L66" s="10">
        <f>IFERROR(VLOOKUP(B66,'Plot Plan'!$A:$C,3,FALSE),"")</f>
      </c>
    </row>
    <row r="67" spans="1:12" x14ac:dyDescent="0.25">
      <c r="A67" s="13"/>
      <c r="B67" s="11"/>
      <c r="C67" s="11"/>
      <c r="D67" s="11"/>
      <c r="E67" s="11"/>
      <c r="F67" s="11">
        <f>IF(AND(D67&lt;&gt;"",E67&lt;&gt;""),((TIMEVALUE(E67)-TIMEVALUE(D67))*24*60),"")</f>
      </c>
      <c r="G67" s="11"/>
      <c r="H67" s="11"/>
      <c r="I67" s="11">
        <f>IF(G67="","Pending",IF(G67&gt;=J67,"Accepted",IF(G67&gt;=(J67-Configuration!$C$5),"Tolerance","Refusal")))</f>
      </c>
      <c r="J67" s="11">
        <f>IFERROR(VLOOKUP(B67,'Plot Plan'!$A:$D,4,FALSE),"")</f>
      </c>
      <c r="K67" s="11">
        <f>IFERROR(VLOOKUP(B67,'Plot Plan'!$A:$B,2,FALSE),"")</f>
      </c>
      <c r="L67" s="11">
        <f>IFERROR(VLOOKUP(B67,'Plot Plan'!$A:$C,3,FALSE),"")</f>
      </c>
    </row>
    <row r="68" spans="1:12" s="8" customFormat="1" x14ac:dyDescent="0.25">
      <c r="A68" s="12"/>
      <c r="B68" s="10"/>
      <c r="C68" s="10"/>
      <c r="D68" s="10"/>
      <c r="E68" s="10"/>
      <c r="F68" s="10">
        <f>IF(AND(D68&lt;&gt;"",E68&lt;&gt;""),((TIMEVALUE(E68)-TIMEVALUE(D68))*24*60),"")</f>
      </c>
      <c r="G68" s="10"/>
      <c r="H68" s="10"/>
      <c r="I68" s="10">
        <f>IF(G68="","Pending",IF(G68&gt;=J68,"Accepted",IF(G68&gt;=(J68-Configuration!$C$5),"Tolerance","Refusal")))</f>
      </c>
      <c r="J68" s="10">
        <f>IFERROR(VLOOKUP(B68,'Plot Plan'!$A:$D,4,FALSE),"")</f>
      </c>
      <c r="K68" s="10">
        <f>IFERROR(VLOOKUP(B68,'Plot Plan'!$A:$B,2,FALSE),"")</f>
      </c>
      <c r="L68" s="10">
        <f>IFERROR(VLOOKUP(B68,'Plot Plan'!$A:$C,3,FALSE),"")</f>
      </c>
    </row>
    <row r="69" spans="1:12" x14ac:dyDescent="0.25">
      <c r="A69" s="13"/>
      <c r="B69" s="11"/>
      <c r="C69" s="11"/>
      <c r="D69" s="11"/>
      <c r="E69" s="11"/>
      <c r="F69" s="11">
        <f>IF(AND(D69&lt;&gt;"",E69&lt;&gt;""),((TIMEVALUE(E69)-TIMEVALUE(D69))*24*60),"")</f>
      </c>
      <c r="G69" s="11"/>
      <c r="H69" s="11"/>
      <c r="I69" s="11">
        <f>IF(G69="","Pending",IF(G69&gt;=J69,"Accepted",IF(G69&gt;=(J69-Configuration!$C$5),"Tolerance","Refusal")))</f>
      </c>
      <c r="J69" s="11">
        <f>IFERROR(VLOOKUP(B69,'Plot Plan'!$A:$D,4,FALSE),"")</f>
      </c>
      <c r="K69" s="11">
        <f>IFERROR(VLOOKUP(B69,'Plot Plan'!$A:$B,2,FALSE),"")</f>
      </c>
      <c r="L69" s="11">
        <f>IFERROR(VLOOKUP(B69,'Plot Plan'!$A:$C,3,FALSE),"")</f>
      </c>
    </row>
    <row r="70" spans="1:12" s="8" customFormat="1" x14ac:dyDescent="0.25">
      <c r="A70" s="12"/>
      <c r="B70" s="10"/>
      <c r="C70" s="10"/>
      <c r="D70" s="10"/>
      <c r="E70" s="10"/>
      <c r="F70" s="10">
        <f>IF(AND(D70&lt;&gt;"",E70&lt;&gt;""),((TIMEVALUE(E70)-TIMEVALUE(D70))*24*60),"")</f>
      </c>
      <c r="G70" s="10"/>
      <c r="H70" s="10"/>
      <c r="I70" s="10">
        <f>IF(G70="","Pending",IF(G70&gt;=J70,"Accepted",IF(G70&gt;=(J70-Configuration!$C$5),"Tolerance","Refusal")))</f>
      </c>
      <c r="J70" s="10">
        <f>IFERROR(VLOOKUP(B70,'Plot Plan'!$A:$D,4,FALSE),"")</f>
      </c>
      <c r="K70" s="10">
        <f>IFERROR(VLOOKUP(B70,'Plot Plan'!$A:$B,2,FALSE),"")</f>
      </c>
      <c r="L70" s="10">
        <f>IFERROR(VLOOKUP(B70,'Plot Plan'!$A:$C,3,FALSE),"")</f>
      </c>
    </row>
    <row r="71" spans="1:12" x14ac:dyDescent="0.25">
      <c r="A71" s="13"/>
      <c r="B71" s="11"/>
      <c r="C71" s="11"/>
      <c r="D71" s="11"/>
      <c r="E71" s="11"/>
      <c r="F71" s="11">
        <f>IF(AND(D71&lt;&gt;"",E71&lt;&gt;""),((TIMEVALUE(E71)-TIMEVALUE(D71))*24*60),"")</f>
      </c>
      <c r="G71" s="11"/>
      <c r="H71" s="11"/>
      <c r="I71" s="11">
        <f>IF(G71="","Pending",IF(G71&gt;=J71,"Accepted",IF(G71&gt;=(J71-Configuration!$C$5),"Tolerance","Refusal")))</f>
      </c>
      <c r="J71" s="11">
        <f>IFERROR(VLOOKUP(B71,'Plot Plan'!$A:$D,4,FALSE),"")</f>
      </c>
      <c r="K71" s="11">
        <f>IFERROR(VLOOKUP(B71,'Plot Plan'!$A:$B,2,FALSE),"")</f>
      </c>
      <c r="L71" s="11">
        <f>IFERROR(VLOOKUP(B71,'Plot Plan'!$A:$C,3,FALSE),"")</f>
      </c>
    </row>
    <row r="72" spans="1:12" s="8" customFormat="1" x14ac:dyDescent="0.25">
      <c r="A72" s="12"/>
      <c r="B72" s="10"/>
      <c r="C72" s="10"/>
      <c r="D72" s="10"/>
      <c r="E72" s="10"/>
      <c r="F72" s="10">
        <f>IF(AND(D72&lt;&gt;"",E72&lt;&gt;""),((TIMEVALUE(E72)-TIMEVALUE(D72))*24*60),"")</f>
      </c>
      <c r="G72" s="10"/>
      <c r="H72" s="10"/>
      <c r="I72" s="10">
        <f>IF(G72="","Pending",IF(G72&gt;=J72,"Accepted",IF(G72&gt;=(J72-Configuration!$C$5),"Tolerance","Refusal")))</f>
      </c>
      <c r="J72" s="10">
        <f>IFERROR(VLOOKUP(B72,'Plot Plan'!$A:$D,4,FALSE),"")</f>
      </c>
      <c r="K72" s="10">
        <f>IFERROR(VLOOKUP(B72,'Plot Plan'!$A:$B,2,FALSE),"")</f>
      </c>
      <c r="L72" s="10">
        <f>IFERROR(VLOOKUP(B72,'Plot Plan'!$A:$C,3,FALSE),"")</f>
      </c>
    </row>
    <row r="73" spans="1:12" x14ac:dyDescent="0.25">
      <c r="A73" s="13"/>
      <c r="B73" s="11"/>
      <c r="C73" s="11"/>
      <c r="D73" s="11"/>
      <c r="E73" s="11"/>
      <c r="F73" s="11">
        <f>IF(AND(D73&lt;&gt;"",E73&lt;&gt;""),((TIMEVALUE(E73)-TIMEVALUE(D73))*24*60),"")</f>
      </c>
      <c r="G73" s="11"/>
      <c r="H73" s="11"/>
      <c r="I73" s="11">
        <f>IF(G73="","Pending",IF(G73&gt;=J73,"Accepted",IF(G73&gt;=(J73-Configuration!$C$5),"Tolerance","Refusal")))</f>
      </c>
      <c r="J73" s="11">
        <f>IFERROR(VLOOKUP(B73,'Plot Plan'!$A:$D,4,FALSE),"")</f>
      </c>
      <c r="K73" s="11">
        <f>IFERROR(VLOOKUP(B73,'Plot Plan'!$A:$B,2,FALSE),"")</f>
      </c>
      <c r="L73" s="11">
        <f>IFERROR(VLOOKUP(B73,'Plot Plan'!$A:$C,3,FALSE),"")</f>
      </c>
    </row>
    <row r="74" spans="1:12" s="8" customFormat="1" x14ac:dyDescent="0.25">
      <c r="A74" s="12"/>
      <c r="B74" s="10"/>
      <c r="C74" s="10"/>
      <c r="D74" s="10"/>
      <c r="E74" s="10"/>
      <c r="F74" s="10">
        <f>IF(AND(D74&lt;&gt;"",E74&lt;&gt;""),((TIMEVALUE(E74)-TIMEVALUE(D74))*24*60),"")</f>
      </c>
      <c r="G74" s="10"/>
      <c r="H74" s="10"/>
      <c r="I74" s="10">
        <f>IF(G74="","Pending",IF(G74&gt;=J74,"Accepted",IF(G74&gt;=(J74-Configuration!$C$5),"Tolerance","Refusal")))</f>
      </c>
      <c r="J74" s="10">
        <f>IFERROR(VLOOKUP(B74,'Plot Plan'!$A:$D,4,FALSE),"")</f>
      </c>
      <c r="K74" s="10">
        <f>IFERROR(VLOOKUP(B74,'Plot Plan'!$A:$B,2,FALSE),"")</f>
      </c>
      <c r="L74" s="10">
        <f>IFERROR(VLOOKUP(B74,'Plot Plan'!$A:$C,3,FALSE),"")</f>
      </c>
    </row>
    <row r="75" spans="1:12" x14ac:dyDescent="0.25">
      <c r="A75" s="13"/>
      <c r="B75" s="11"/>
      <c r="C75" s="11"/>
      <c r="D75" s="11"/>
      <c r="E75" s="11"/>
      <c r="F75" s="11">
        <f>IF(AND(D75&lt;&gt;"",E75&lt;&gt;""),((TIMEVALUE(E75)-TIMEVALUE(D75))*24*60),"")</f>
      </c>
      <c r="G75" s="11"/>
      <c r="H75" s="11"/>
      <c r="I75" s="11">
        <f>IF(G75="","Pending",IF(G75&gt;=J75,"Accepted",IF(G75&gt;=(J75-Configuration!$C$5),"Tolerance","Refusal")))</f>
      </c>
      <c r="J75" s="11">
        <f>IFERROR(VLOOKUP(B75,'Plot Plan'!$A:$D,4,FALSE),"")</f>
      </c>
      <c r="K75" s="11">
        <f>IFERROR(VLOOKUP(B75,'Plot Plan'!$A:$B,2,FALSE),"")</f>
      </c>
      <c r="L75" s="11">
        <f>IFERROR(VLOOKUP(B75,'Plot Plan'!$A:$C,3,FALSE),"")</f>
      </c>
    </row>
    <row r="76" spans="1:12" s="8" customFormat="1" x14ac:dyDescent="0.25">
      <c r="A76" s="12"/>
      <c r="B76" s="10"/>
      <c r="C76" s="10"/>
      <c r="D76" s="10"/>
      <c r="E76" s="10"/>
      <c r="F76" s="10">
        <f>IF(AND(D76&lt;&gt;"",E76&lt;&gt;""),((TIMEVALUE(E76)-TIMEVALUE(D76))*24*60),"")</f>
      </c>
      <c r="G76" s="10"/>
      <c r="H76" s="10"/>
      <c r="I76" s="10">
        <f>IF(G76="","Pending",IF(G76&gt;=J76,"Accepted",IF(G76&gt;=(J76-Configuration!$C$5),"Tolerance","Refusal")))</f>
      </c>
      <c r="J76" s="10">
        <f>IFERROR(VLOOKUP(B76,'Plot Plan'!$A:$D,4,FALSE),"")</f>
      </c>
      <c r="K76" s="10">
        <f>IFERROR(VLOOKUP(B76,'Plot Plan'!$A:$B,2,FALSE),"")</f>
      </c>
      <c r="L76" s="10">
        <f>IFERROR(VLOOKUP(B76,'Plot Plan'!$A:$C,3,FALSE),"")</f>
      </c>
    </row>
    <row r="77" spans="1:12" x14ac:dyDescent="0.25">
      <c r="A77" s="13"/>
      <c r="B77" s="11"/>
      <c r="C77" s="11"/>
      <c r="D77" s="11"/>
      <c r="E77" s="11"/>
      <c r="F77" s="11">
        <f>IF(AND(D77&lt;&gt;"",E77&lt;&gt;""),((TIMEVALUE(E77)-TIMEVALUE(D77))*24*60),"")</f>
      </c>
      <c r="G77" s="11"/>
      <c r="H77" s="11"/>
      <c r="I77" s="11">
        <f>IF(G77="","Pending",IF(G77&gt;=J77,"Accepted",IF(G77&gt;=(J77-Configuration!$C$5),"Tolerance","Refusal")))</f>
      </c>
      <c r="J77" s="11">
        <f>IFERROR(VLOOKUP(B77,'Plot Plan'!$A:$D,4,FALSE),"")</f>
      </c>
      <c r="K77" s="11">
        <f>IFERROR(VLOOKUP(B77,'Plot Plan'!$A:$B,2,FALSE),"")</f>
      </c>
      <c r="L77" s="11">
        <f>IFERROR(VLOOKUP(B77,'Plot Plan'!$A:$C,3,FALSE),"")</f>
      </c>
    </row>
    <row r="78" spans="1:12" s="8" customFormat="1" x14ac:dyDescent="0.25">
      <c r="A78" s="12"/>
      <c r="B78" s="10"/>
      <c r="C78" s="10"/>
      <c r="D78" s="10"/>
      <c r="E78" s="10"/>
      <c r="F78" s="10">
        <f>IF(AND(D78&lt;&gt;"",E78&lt;&gt;""),((TIMEVALUE(E78)-TIMEVALUE(D78))*24*60),"")</f>
      </c>
      <c r="G78" s="10"/>
      <c r="H78" s="10"/>
      <c r="I78" s="10">
        <f>IF(G78="","Pending",IF(G78&gt;=J78,"Accepted",IF(G78&gt;=(J78-Configuration!$C$5),"Tolerance","Refusal")))</f>
      </c>
      <c r="J78" s="10">
        <f>IFERROR(VLOOKUP(B78,'Plot Plan'!$A:$D,4,FALSE),"")</f>
      </c>
      <c r="K78" s="10">
        <f>IFERROR(VLOOKUP(B78,'Plot Plan'!$A:$B,2,FALSE),"")</f>
      </c>
      <c r="L78" s="10">
        <f>IFERROR(VLOOKUP(B78,'Plot Plan'!$A:$C,3,FALSE),"")</f>
      </c>
    </row>
    <row r="79" spans="1:12" x14ac:dyDescent="0.25">
      <c r="A79" s="13"/>
      <c r="B79" s="11"/>
      <c r="C79" s="11"/>
      <c r="D79" s="11"/>
      <c r="E79" s="11"/>
      <c r="F79" s="11">
        <f>IF(AND(D79&lt;&gt;"",E79&lt;&gt;""),((TIMEVALUE(E79)-TIMEVALUE(D79))*24*60),"")</f>
      </c>
      <c r="G79" s="11"/>
      <c r="H79" s="11"/>
      <c r="I79" s="11">
        <f>IF(G79="","Pending",IF(G79&gt;=J79,"Accepted",IF(G79&gt;=(J79-Configuration!$C$5),"Tolerance","Refusal")))</f>
      </c>
      <c r="J79" s="11">
        <f>IFERROR(VLOOKUP(B79,'Plot Plan'!$A:$D,4,FALSE),"")</f>
      </c>
      <c r="K79" s="11">
        <f>IFERROR(VLOOKUP(B79,'Plot Plan'!$A:$B,2,FALSE),"")</f>
      </c>
      <c r="L79" s="11">
        <f>IFERROR(VLOOKUP(B79,'Plot Plan'!$A:$C,3,FALSE),"")</f>
      </c>
    </row>
    <row r="80" spans="1:12" s="8" customFormat="1" x14ac:dyDescent="0.25">
      <c r="A80" s="12"/>
      <c r="B80" s="10"/>
      <c r="C80" s="10"/>
      <c r="D80" s="10"/>
      <c r="E80" s="10"/>
      <c r="F80" s="10">
        <f>IF(AND(D80&lt;&gt;"",E80&lt;&gt;""),((TIMEVALUE(E80)-TIMEVALUE(D80))*24*60),"")</f>
      </c>
      <c r="G80" s="10"/>
      <c r="H80" s="10"/>
      <c r="I80" s="10">
        <f>IF(G80="","Pending",IF(G80&gt;=J80,"Accepted",IF(G80&gt;=(J80-Configuration!$C$5),"Tolerance","Refusal")))</f>
      </c>
      <c r="J80" s="10">
        <f>IFERROR(VLOOKUP(B80,'Plot Plan'!$A:$D,4,FALSE),"")</f>
      </c>
      <c r="K80" s="10">
        <f>IFERROR(VLOOKUP(B80,'Plot Plan'!$A:$B,2,FALSE),"")</f>
      </c>
      <c r="L80" s="10">
        <f>IFERROR(VLOOKUP(B80,'Plot Plan'!$A:$C,3,FALSE),"")</f>
      </c>
    </row>
    <row r="81" spans="1:12" x14ac:dyDescent="0.25">
      <c r="A81" s="13"/>
      <c r="B81" s="11"/>
      <c r="C81" s="11"/>
      <c r="D81" s="11"/>
      <c r="E81" s="11"/>
      <c r="F81" s="11">
        <f>IF(AND(D81&lt;&gt;"",E81&lt;&gt;""),((TIMEVALUE(E81)-TIMEVALUE(D81))*24*60),"")</f>
      </c>
      <c r="G81" s="11"/>
      <c r="H81" s="11"/>
      <c r="I81" s="11">
        <f>IF(G81="","Pending",IF(G81&gt;=J81,"Accepted",IF(G81&gt;=(J81-Configuration!$C$5),"Tolerance","Refusal")))</f>
      </c>
      <c r="J81" s="11">
        <f>IFERROR(VLOOKUP(B81,'Plot Plan'!$A:$D,4,FALSE),"")</f>
      </c>
      <c r="K81" s="11">
        <f>IFERROR(VLOOKUP(B81,'Plot Plan'!$A:$B,2,FALSE),"")</f>
      </c>
      <c r="L81" s="11">
        <f>IFERROR(VLOOKUP(B81,'Plot Plan'!$A:$C,3,FALSE),"")</f>
      </c>
    </row>
    <row r="82" spans="1:12" s="8" customFormat="1" x14ac:dyDescent="0.25">
      <c r="A82" s="12"/>
      <c r="B82" s="10"/>
      <c r="C82" s="10"/>
      <c r="D82" s="10"/>
      <c r="E82" s="10"/>
      <c r="F82" s="10">
        <f>IF(AND(D82&lt;&gt;"",E82&lt;&gt;""),((TIMEVALUE(E82)-TIMEVALUE(D82))*24*60),"")</f>
      </c>
      <c r="G82" s="10"/>
      <c r="H82" s="10"/>
      <c r="I82" s="10">
        <f>IF(G82="","Pending",IF(G82&gt;=J82,"Accepted",IF(G82&gt;=(J82-Configuration!$C$5),"Tolerance","Refusal")))</f>
      </c>
      <c r="J82" s="10">
        <f>IFERROR(VLOOKUP(B82,'Plot Plan'!$A:$D,4,FALSE),"")</f>
      </c>
      <c r="K82" s="10">
        <f>IFERROR(VLOOKUP(B82,'Plot Plan'!$A:$B,2,FALSE),"")</f>
      </c>
      <c r="L82" s="10">
        <f>IFERROR(VLOOKUP(B82,'Plot Plan'!$A:$C,3,FALSE),"")</f>
      </c>
    </row>
    <row r="83" spans="1:12" x14ac:dyDescent="0.25">
      <c r="A83" s="13"/>
      <c r="B83" s="11"/>
      <c r="C83" s="11"/>
      <c r="D83" s="11"/>
      <c r="E83" s="11"/>
      <c r="F83" s="11">
        <f>IF(AND(D83&lt;&gt;"",E83&lt;&gt;""),((TIMEVALUE(E83)-TIMEVALUE(D83))*24*60),"")</f>
      </c>
      <c r="G83" s="11"/>
      <c r="H83" s="11"/>
      <c r="I83" s="11">
        <f>IF(G83="","Pending",IF(G83&gt;=J83,"Accepted",IF(G83&gt;=(J83-Configuration!$C$5),"Tolerance","Refusal")))</f>
      </c>
      <c r="J83" s="11">
        <f>IFERROR(VLOOKUP(B83,'Plot Plan'!$A:$D,4,FALSE),"")</f>
      </c>
      <c r="K83" s="11">
        <f>IFERROR(VLOOKUP(B83,'Plot Plan'!$A:$B,2,FALSE),"")</f>
      </c>
      <c r="L83" s="11">
        <f>IFERROR(VLOOKUP(B83,'Plot Plan'!$A:$C,3,FALSE),"")</f>
      </c>
    </row>
    <row r="84" spans="1:12" s="8" customFormat="1" x14ac:dyDescent="0.25">
      <c r="A84" s="12"/>
      <c r="B84" s="10"/>
      <c r="C84" s="10"/>
      <c r="D84" s="10"/>
      <c r="E84" s="10"/>
      <c r="F84" s="10">
        <f>IF(AND(D84&lt;&gt;"",E84&lt;&gt;""),((TIMEVALUE(E84)-TIMEVALUE(D84))*24*60),"")</f>
      </c>
      <c r="G84" s="10"/>
      <c r="H84" s="10"/>
      <c r="I84" s="10">
        <f>IF(G84="","Pending",IF(G84&gt;=J84,"Accepted",IF(G84&gt;=(J84-Configuration!$C$5),"Tolerance","Refusal")))</f>
      </c>
      <c r="J84" s="10">
        <f>IFERROR(VLOOKUP(B84,'Plot Plan'!$A:$D,4,FALSE),"")</f>
      </c>
      <c r="K84" s="10">
        <f>IFERROR(VLOOKUP(B84,'Plot Plan'!$A:$B,2,FALSE),"")</f>
      </c>
      <c r="L84" s="10">
        <f>IFERROR(VLOOKUP(B84,'Plot Plan'!$A:$C,3,FALSE),"")</f>
      </c>
    </row>
    <row r="85" spans="1:12" x14ac:dyDescent="0.25">
      <c r="A85" s="13"/>
      <c r="B85" s="11"/>
      <c r="C85" s="11"/>
      <c r="D85" s="11"/>
      <c r="E85" s="11"/>
      <c r="F85" s="11">
        <f>IF(AND(D85&lt;&gt;"",E85&lt;&gt;""),((TIMEVALUE(E85)-TIMEVALUE(D85))*24*60),"")</f>
      </c>
      <c r="G85" s="11"/>
      <c r="H85" s="11"/>
      <c r="I85" s="11">
        <f>IF(G85="","Pending",IF(G85&gt;=J85,"Accepted",IF(G85&gt;=(J85-Configuration!$C$5),"Tolerance","Refusal")))</f>
      </c>
      <c r="J85" s="11">
        <f>IFERROR(VLOOKUP(B85,'Plot Plan'!$A:$D,4,FALSE),"")</f>
      </c>
      <c r="K85" s="11">
        <f>IFERROR(VLOOKUP(B85,'Plot Plan'!$A:$B,2,FALSE),"")</f>
      </c>
      <c r="L85" s="11">
        <f>IFERROR(VLOOKUP(B85,'Plot Plan'!$A:$C,3,FALSE),"")</f>
      </c>
    </row>
    <row r="86" spans="1:12" s="8" customFormat="1" x14ac:dyDescent="0.25">
      <c r="A86" s="12"/>
      <c r="B86" s="10"/>
      <c r="C86" s="10"/>
      <c r="D86" s="10"/>
      <c r="E86" s="10"/>
      <c r="F86" s="10">
        <f>IF(AND(D86&lt;&gt;"",E86&lt;&gt;""),((TIMEVALUE(E86)-TIMEVALUE(D86))*24*60),"")</f>
      </c>
      <c r="G86" s="10"/>
      <c r="H86" s="10"/>
      <c r="I86" s="10">
        <f>IF(G86="","Pending",IF(G86&gt;=J86,"Accepted",IF(G86&gt;=(J86-Configuration!$C$5),"Tolerance","Refusal")))</f>
      </c>
      <c r="J86" s="10">
        <f>IFERROR(VLOOKUP(B86,'Plot Plan'!$A:$D,4,FALSE),"")</f>
      </c>
      <c r="K86" s="10">
        <f>IFERROR(VLOOKUP(B86,'Plot Plan'!$A:$B,2,FALSE),"")</f>
      </c>
      <c r="L86" s="10">
        <f>IFERROR(VLOOKUP(B86,'Plot Plan'!$A:$C,3,FALSE),"")</f>
      </c>
    </row>
    <row r="87" spans="1:12" x14ac:dyDescent="0.25">
      <c r="A87" s="13"/>
      <c r="B87" s="11"/>
      <c r="C87" s="11"/>
      <c r="D87" s="11"/>
      <c r="E87" s="11"/>
      <c r="F87" s="11">
        <f>IF(AND(D87&lt;&gt;"",E87&lt;&gt;""),((TIMEVALUE(E87)-TIMEVALUE(D87))*24*60),"")</f>
      </c>
      <c r="G87" s="11"/>
      <c r="H87" s="11"/>
      <c r="I87" s="11">
        <f>IF(G87="","Pending",IF(G87&gt;=J87,"Accepted",IF(G87&gt;=(J87-Configuration!$C$5),"Tolerance","Refusal")))</f>
      </c>
      <c r="J87" s="11">
        <f>IFERROR(VLOOKUP(B87,'Plot Plan'!$A:$D,4,FALSE),"")</f>
      </c>
      <c r="K87" s="11">
        <f>IFERROR(VLOOKUP(B87,'Plot Plan'!$A:$B,2,FALSE),"")</f>
      </c>
      <c r="L87" s="11">
        <f>IFERROR(VLOOKUP(B87,'Plot Plan'!$A:$C,3,FALSE),"")</f>
      </c>
    </row>
    <row r="88" spans="1:12" s="8" customFormat="1" x14ac:dyDescent="0.25">
      <c r="A88" s="12"/>
      <c r="B88" s="10"/>
      <c r="C88" s="10"/>
      <c r="D88" s="10"/>
      <c r="E88" s="10"/>
      <c r="F88" s="10">
        <f>IF(AND(D88&lt;&gt;"",E88&lt;&gt;""),((TIMEVALUE(E88)-TIMEVALUE(D88))*24*60),"")</f>
      </c>
      <c r="G88" s="10"/>
      <c r="H88" s="10"/>
      <c r="I88" s="10">
        <f>IF(G88="","Pending",IF(G88&gt;=J88,"Accepted",IF(G88&gt;=(J88-Configuration!$C$5),"Tolerance","Refusal")))</f>
      </c>
      <c r="J88" s="10">
        <f>IFERROR(VLOOKUP(B88,'Plot Plan'!$A:$D,4,FALSE),"")</f>
      </c>
      <c r="K88" s="10">
        <f>IFERROR(VLOOKUP(B88,'Plot Plan'!$A:$B,2,FALSE),"")</f>
      </c>
      <c r="L88" s="10">
        <f>IFERROR(VLOOKUP(B88,'Plot Plan'!$A:$C,3,FALSE),"")</f>
      </c>
    </row>
    <row r="89" spans="1:12" x14ac:dyDescent="0.25">
      <c r="A89" s="13"/>
      <c r="B89" s="11"/>
      <c r="C89" s="11"/>
      <c r="D89" s="11"/>
      <c r="E89" s="11"/>
      <c r="F89" s="11">
        <f>IF(AND(D89&lt;&gt;"",E89&lt;&gt;""),((TIMEVALUE(E89)-TIMEVALUE(D89))*24*60),"")</f>
      </c>
      <c r="G89" s="11"/>
      <c r="H89" s="11"/>
      <c r="I89" s="11">
        <f>IF(G89="","Pending",IF(G89&gt;=J89,"Accepted",IF(G89&gt;=(J89-Configuration!$C$5),"Tolerance","Refusal")))</f>
      </c>
      <c r="J89" s="11">
        <f>IFERROR(VLOOKUP(B89,'Plot Plan'!$A:$D,4,FALSE),"")</f>
      </c>
      <c r="K89" s="11">
        <f>IFERROR(VLOOKUP(B89,'Plot Plan'!$A:$B,2,FALSE),"")</f>
      </c>
      <c r="L89" s="11">
        <f>IFERROR(VLOOKUP(B89,'Plot Plan'!$A:$C,3,FALSE),"")</f>
      </c>
    </row>
    <row r="90" spans="1:12" s="8" customFormat="1" x14ac:dyDescent="0.25">
      <c r="A90" s="12"/>
      <c r="B90" s="10"/>
      <c r="C90" s="10"/>
      <c r="D90" s="10"/>
      <c r="E90" s="10"/>
      <c r="F90" s="10">
        <f>IF(AND(D90&lt;&gt;"",E90&lt;&gt;""),((TIMEVALUE(E90)-TIMEVALUE(D90))*24*60),"")</f>
      </c>
      <c r="G90" s="10"/>
      <c r="H90" s="10"/>
      <c r="I90" s="10">
        <f>IF(G90="","Pending",IF(G90&gt;=J90,"Accepted",IF(G90&gt;=(J90-Configuration!$C$5),"Tolerance","Refusal")))</f>
      </c>
      <c r="J90" s="10">
        <f>IFERROR(VLOOKUP(B90,'Plot Plan'!$A:$D,4,FALSE),"")</f>
      </c>
      <c r="K90" s="10">
        <f>IFERROR(VLOOKUP(B90,'Plot Plan'!$A:$B,2,FALSE),"")</f>
      </c>
      <c r="L90" s="10">
        <f>IFERROR(VLOOKUP(B90,'Plot Plan'!$A:$C,3,FALSE),"")</f>
      </c>
    </row>
    <row r="91" spans="1:12" x14ac:dyDescent="0.25">
      <c r="A91" s="13"/>
      <c r="B91" s="11"/>
      <c r="C91" s="11"/>
      <c r="D91" s="11"/>
      <c r="E91" s="11"/>
      <c r="F91" s="11">
        <f>IF(AND(D91&lt;&gt;"",E91&lt;&gt;""),((TIMEVALUE(E91)-TIMEVALUE(D91))*24*60),"")</f>
      </c>
      <c r="G91" s="11"/>
      <c r="H91" s="11"/>
      <c r="I91" s="11">
        <f>IF(G91="","Pending",IF(G91&gt;=J91,"Accepted",IF(G91&gt;=(J91-Configuration!$C$5),"Tolerance","Refusal")))</f>
      </c>
      <c r="J91" s="11">
        <f>IFERROR(VLOOKUP(B91,'Plot Plan'!$A:$D,4,FALSE),"")</f>
      </c>
      <c r="K91" s="11">
        <f>IFERROR(VLOOKUP(B91,'Plot Plan'!$A:$B,2,FALSE),"")</f>
      </c>
      <c r="L91" s="11">
        <f>IFERROR(VLOOKUP(B91,'Plot Plan'!$A:$C,3,FALSE),"")</f>
      </c>
    </row>
    <row r="92" spans="1:12" s="8" customFormat="1" x14ac:dyDescent="0.25">
      <c r="A92" s="12"/>
      <c r="B92" s="10"/>
      <c r="C92" s="10"/>
      <c r="D92" s="10"/>
      <c r="E92" s="10"/>
      <c r="F92" s="10">
        <f>IF(AND(D92&lt;&gt;"",E92&lt;&gt;""),((TIMEVALUE(E92)-TIMEVALUE(D92))*24*60),"")</f>
      </c>
      <c r="G92" s="10"/>
      <c r="H92" s="10"/>
      <c r="I92" s="10">
        <f>IF(G92="","Pending",IF(G92&gt;=J92,"Accepted",IF(G92&gt;=(J92-Configuration!$C$5),"Tolerance","Refusal")))</f>
      </c>
      <c r="J92" s="10">
        <f>IFERROR(VLOOKUP(B92,'Plot Plan'!$A:$D,4,FALSE),"")</f>
      </c>
      <c r="K92" s="10">
        <f>IFERROR(VLOOKUP(B92,'Plot Plan'!$A:$B,2,FALSE),"")</f>
      </c>
      <c r="L92" s="10">
        <f>IFERROR(VLOOKUP(B92,'Plot Plan'!$A:$C,3,FALSE),"")</f>
      </c>
    </row>
    <row r="93" spans="1:12" x14ac:dyDescent="0.25">
      <c r="A93" s="13"/>
      <c r="B93" s="11"/>
      <c r="C93" s="11"/>
      <c r="D93" s="11"/>
      <c r="E93" s="11"/>
      <c r="F93" s="11">
        <f>IF(AND(D93&lt;&gt;"",E93&lt;&gt;""),((TIMEVALUE(E93)-TIMEVALUE(D93))*24*60),"")</f>
      </c>
      <c r="G93" s="11"/>
      <c r="H93" s="11"/>
      <c r="I93" s="11">
        <f>IF(G93="","Pending",IF(G93&gt;=J93,"Accepted",IF(G93&gt;=(J93-Configuration!$C$5),"Tolerance","Refusal")))</f>
      </c>
      <c r="J93" s="11">
        <f>IFERROR(VLOOKUP(B93,'Plot Plan'!$A:$D,4,FALSE),"")</f>
      </c>
      <c r="K93" s="11">
        <f>IFERROR(VLOOKUP(B93,'Plot Plan'!$A:$B,2,FALSE),"")</f>
      </c>
      <c r="L93" s="11">
        <f>IFERROR(VLOOKUP(B93,'Plot Plan'!$A:$C,3,FALSE),"")</f>
      </c>
    </row>
    <row r="94" spans="1:12" s="8" customFormat="1" x14ac:dyDescent="0.25">
      <c r="A94" s="12"/>
      <c r="B94" s="10"/>
      <c r="C94" s="10"/>
      <c r="D94" s="10"/>
      <c r="E94" s="10"/>
      <c r="F94" s="10">
        <f>IF(AND(D94&lt;&gt;"",E94&lt;&gt;""),((TIMEVALUE(E94)-TIMEVALUE(D94))*24*60),"")</f>
      </c>
      <c r="G94" s="10"/>
      <c r="H94" s="10"/>
      <c r="I94" s="10">
        <f>IF(G94="","Pending",IF(G94&gt;=J94,"Accepted",IF(G94&gt;=(J94-Configuration!$C$5),"Tolerance","Refusal")))</f>
      </c>
      <c r="J94" s="10">
        <f>IFERROR(VLOOKUP(B94,'Plot Plan'!$A:$D,4,FALSE),"")</f>
      </c>
      <c r="K94" s="10">
        <f>IFERROR(VLOOKUP(B94,'Plot Plan'!$A:$B,2,FALSE),"")</f>
      </c>
      <c r="L94" s="10">
        <f>IFERROR(VLOOKUP(B94,'Plot Plan'!$A:$C,3,FALSE),"")</f>
      </c>
    </row>
    <row r="95" spans="1:12" x14ac:dyDescent="0.25">
      <c r="A95" s="13"/>
      <c r="B95" s="11"/>
      <c r="C95" s="11"/>
      <c r="D95" s="11"/>
      <c r="E95" s="11"/>
      <c r="F95" s="11">
        <f>IF(AND(D95&lt;&gt;"",E95&lt;&gt;""),((TIMEVALUE(E95)-TIMEVALUE(D95))*24*60),"")</f>
      </c>
      <c r="G95" s="11"/>
      <c r="H95" s="11"/>
      <c r="I95" s="11">
        <f>IF(G95="","Pending",IF(G95&gt;=J95,"Accepted",IF(G95&gt;=(J95-Configuration!$C$5),"Tolerance","Refusal")))</f>
      </c>
      <c r="J95" s="11">
        <f>IFERROR(VLOOKUP(B95,'Plot Plan'!$A:$D,4,FALSE),"")</f>
      </c>
      <c r="K95" s="11">
        <f>IFERROR(VLOOKUP(B95,'Plot Plan'!$A:$B,2,FALSE),"")</f>
      </c>
      <c r="L95" s="11">
        <f>IFERROR(VLOOKUP(B95,'Plot Plan'!$A:$C,3,FALSE),"")</f>
      </c>
    </row>
    <row r="96" spans="1:12" s="8" customFormat="1" x14ac:dyDescent="0.25">
      <c r="A96" s="12"/>
      <c r="B96" s="10"/>
      <c r="C96" s="10"/>
      <c r="D96" s="10"/>
      <c r="E96" s="10"/>
      <c r="F96" s="10">
        <f>IF(AND(D96&lt;&gt;"",E96&lt;&gt;""),((TIMEVALUE(E96)-TIMEVALUE(D96))*24*60),"")</f>
      </c>
      <c r="G96" s="10"/>
      <c r="H96" s="10"/>
      <c r="I96" s="10">
        <f>IF(G96="","Pending",IF(G96&gt;=J96,"Accepted",IF(G96&gt;=(J96-Configuration!$C$5),"Tolerance","Refusal")))</f>
      </c>
      <c r="J96" s="10">
        <f>IFERROR(VLOOKUP(B96,'Plot Plan'!$A:$D,4,FALSE),"")</f>
      </c>
      <c r="K96" s="10">
        <f>IFERROR(VLOOKUP(B96,'Plot Plan'!$A:$B,2,FALSE),"")</f>
      </c>
      <c r="L96" s="10">
        <f>IFERROR(VLOOKUP(B96,'Plot Plan'!$A:$C,3,FALSE),"")</f>
      </c>
    </row>
    <row r="97" spans="1:12" x14ac:dyDescent="0.25">
      <c r="A97" s="13"/>
      <c r="B97" s="11"/>
      <c r="C97" s="11"/>
      <c r="D97" s="11"/>
      <c r="E97" s="11"/>
      <c r="F97" s="11">
        <f>IF(AND(D97&lt;&gt;"",E97&lt;&gt;""),((TIMEVALUE(E97)-TIMEVALUE(D97))*24*60),"")</f>
      </c>
      <c r="G97" s="11"/>
      <c r="H97" s="11"/>
      <c r="I97" s="11">
        <f>IF(G97="","Pending",IF(G97&gt;=J97,"Accepted",IF(G97&gt;=(J97-Configuration!$C$5),"Tolerance","Refusal")))</f>
      </c>
      <c r="J97" s="11">
        <f>IFERROR(VLOOKUP(B97,'Plot Plan'!$A:$D,4,FALSE),"")</f>
      </c>
      <c r="K97" s="11">
        <f>IFERROR(VLOOKUP(B97,'Plot Plan'!$A:$B,2,FALSE),"")</f>
      </c>
      <c r="L97" s="11">
        <f>IFERROR(VLOOKUP(B97,'Plot Plan'!$A:$C,3,FALSE),"")</f>
      </c>
    </row>
    <row r="98" spans="1:12" s="8" customFormat="1" x14ac:dyDescent="0.25">
      <c r="A98" s="12"/>
      <c r="B98" s="10"/>
      <c r="C98" s="10"/>
      <c r="D98" s="10"/>
      <c r="E98" s="10"/>
      <c r="F98" s="10">
        <f>IF(AND(D98&lt;&gt;"",E98&lt;&gt;""),((TIMEVALUE(E98)-TIMEVALUE(D98))*24*60),"")</f>
      </c>
      <c r="G98" s="10"/>
      <c r="H98" s="10"/>
      <c r="I98" s="10">
        <f>IF(G98="","Pending",IF(G98&gt;=J98,"Accepted",IF(G98&gt;=(J98-Configuration!$C$5),"Tolerance","Refusal")))</f>
      </c>
      <c r="J98" s="10">
        <f>IFERROR(VLOOKUP(B98,'Plot Plan'!$A:$D,4,FALSE),"")</f>
      </c>
      <c r="K98" s="10">
        <f>IFERROR(VLOOKUP(B98,'Plot Plan'!$A:$B,2,FALSE),"")</f>
      </c>
      <c r="L98" s="10">
        <f>IFERROR(VLOOKUP(B98,'Plot Plan'!$A:$C,3,FALSE),"")</f>
      </c>
    </row>
    <row r="99" spans="1:12" x14ac:dyDescent="0.25">
      <c r="A99" s="13"/>
      <c r="B99" s="11"/>
      <c r="C99" s="11"/>
      <c r="D99" s="11"/>
      <c r="E99" s="11"/>
      <c r="F99" s="11">
        <f>IF(AND(D99&lt;&gt;"",E99&lt;&gt;""),((TIMEVALUE(E99)-TIMEVALUE(D99))*24*60),"")</f>
      </c>
      <c r="G99" s="11"/>
      <c r="H99" s="11"/>
      <c r="I99" s="11">
        <f>IF(G99="","Pending",IF(G99&gt;=J99,"Accepted",IF(G99&gt;=(J99-Configuration!$C$5),"Tolerance","Refusal")))</f>
      </c>
      <c r="J99" s="11">
        <f>IFERROR(VLOOKUP(B99,'Plot Plan'!$A:$D,4,FALSE),"")</f>
      </c>
      <c r="K99" s="11">
        <f>IFERROR(VLOOKUP(B99,'Plot Plan'!$A:$B,2,FALSE),"")</f>
      </c>
      <c r="L99" s="11">
        <f>IFERROR(VLOOKUP(B99,'Plot Plan'!$A:$C,3,FALSE),"")</f>
      </c>
    </row>
    <row r="100" spans="1:12" s="8" customFormat="1" x14ac:dyDescent="0.25">
      <c r="A100" s="12"/>
      <c r="B100" s="10"/>
      <c r="C100" s="10"/>
      <c r="D100" s="10"/>
      <c r="E100" s="10"/>
      <c r="F100" s="10">
        <f>IF(AND(D100&lt;&gt;"",E100&lt;&gt;""),((TIMEVALUE(E100)-TIMEVALUE(D100))*24*60),"")</f>
      </c>
      <c r="G100" s="10"/>
      <c r="H100" s="10"/>
      <c r="I100" s="10">
        <f>IF(G100="","Pending",IF(G100&gt;=J100,"Accepted",IF(G100&gt;=(J100-Configuration!$C$5),"Tolerance","Refusal")))</f>
      </c>
      <c r="J100" s="10">
        <f>IFERROR(VLOOKUP(B100,'Plot Plan'!$A:$D,4,FALSE),"")</f>
      </c>
      <c r="K100" s="10">
        <f>IFERROR(VLOOKUP(B100,'Plot Plan'!$A:$B,2,FALSE),"")</f>
      </c>
      <c r="L100" s="10">
        <f>IFERROR(VLOOKUP(B100,'Plot Plan'!$A:$C,3,FALSE),"")</f>
      </c>
    </row>
    <row r="101" spans="1:12" x14ac:dyDescent="0.25">
      <c r="A101" s="13"/>
      <c r="B101" s="11"/>
      <c r="C101" s="11"/>
      <c r="D101" s="11"/>
      <c r="E101" s="11"/>
      <c r="F101" s="11">
        <f>IF(AND(D101&lt;&gt;"",E101&lt;&gt;""),((TIMEVALUE(E101)-TIMEVALUE(D101))*24*60),"")</f>
      </c>
      <c r="G101" s="11"/>
      <c r="H101" s="11"/>
      <c r="I101" s="11">
        <f>IF(G101="","Pending",IF(G101&gt;=J101,"Accepted",IF(G101&gt;=(J101-Configuration!$C$5),"Tolerance","Refusal")))</f>
      </c>
      <c r="J101" s="11">
        <f>IFERROR(VLOOKUP(B101,'Plot Plan'!$A:$D,4,FALSE),"")</f>
      </c>
      <c r="K101" s="11">
        <f>IFERROR(VLOOKUP(B101,'Plot Plan'!$A:$B,2,FALSE),"")</f>
      </c>
      <c r="L101" s="11">
        <f>IFERROR(VLOOKUP(B101,'Plot Plan'!$A:$C,3,FALSE),"")</f>
      </c>
    </row>
    <row r="102" spans="1:12" s="8" customFormat="1" x14ac:dyDescent="0.25">
      <c r="A102" s="12"/>
      <c r="B102" s="10"/>
      <c r="C102" s="10"/>
      <c r="D102" s="10"/>
      <c r="E102" s="10"/>
      <c r="F102" s="10">
        <f>IF(AND(D102&lt;&gt;"",E102&lt;&gt;""),((TIMEVALUE(E102)-TIMEVALUE(D102))*24*60),"")</f>
      </c>
      <c r="G102" s="10"/>
      <c r="H102" s="10"/>
      <c r="I102" s="10">
        <f>IF(G102="","Pending",IF(G102&gt;=J102,"Accepted",IF(G102&gt;=(J102-Configuration!$C$5),"Tolerance","Refusal")))</f>
      </c>
      <c r="J102" s="10">
        <f>IFERROR(VLOOKUP(B102,'Plot Plan'!$A:$D,4,FALSE),"")</f>
      </c>
      <c r="K102" s="10">
        <f>IFERROR(VLOOKUP(B102,'Plot Plan'!$A:$B,2,FALSE),"")</f>
      </c>
      <c r="L102" s="10">
        <f>IFERROR(VLOOKUP(B102,'Plot Plan'!$A:$C,3,FALSE),"")</f>
      </c>
    </row>
    <row r="103" spans="1:12" x14ac:dyDescent="0.25">
      <c r="A103" s="13"/>
      <c r="B103" s="11"/>
      <c r="C103" s="11"/>
      <c r="D103" s="11"/>
      <c r="E103" s="11"/>
      <c r="F103" s="11">
        <f>IF(AND(D103&lt;&gt;"",E103&lt;&gt;""),((TIMEVALUE(E103)-TIMEVALUE(D103))*24*60),"")</f>
      </c>
      <c r="G103" s="11"/>
      <c r="H103" s="11"/>
      <c r="I103" s="11">
        <f>IF(G103="","Pending",IF(G103&gt;=J103,"Accepted",IF(G103&gt;=(J103-Configuration!$C$5),"Tolerance","Refusal")))</f>
      </c>
      <c r="J103" s="11">
        <f>IFERROR(VLOOKUP(B103,'Plot Plan'!$A:$D,4,FALSE),"")</f>
      </c>
      <c r="K103" s="11">
        <f>IFERROR(VLOOKUP(B103,'Plot Plan'!$A:$B,2,FALSE),"")</f>
      </c>
      <c r="L103" s="11">
        <f>IFERROR(VLOOKUP(B103,'Plot Plan'!$A:$C,3,FALSE),"")</f>
      </c>
    </row>
    <row r="104" spans="1:12" s="8" customFormat="1" x14ac:dyDescent="0.25">
      <c r="A104" s="12"/>
      <c r="B104" s="10"/>
      <c r="C104" s="10"/>
      <c r="D104" s="10"/>
      <c r="E104" s="10"/>
      <c r="F104" s="10">
        <f>IF(AND(D104&lt;&gt;"",E104&lt;&gt;""),((TIMEVALUE(E104)-TIMEVALUE(D104))*24*60),"")</f>
      </c>
      <c r="G104" s="10"/>
      <c r="H104" s="10"/>
      <c r="I104" s="10">
        <f>IF(G104="","Pending",IF(G104&gt;=J104,"Accepted",IF(G104&gt;=(J104-Configuration!$C$5),"Tolerance","Refusal")))</f>
      </c>
      <c r="J104" s="10">
        <f>IFERROR(VLOOKUP(B104,'Plot Plan'!$A:$D,4,FALSE),"")</f>
      </c>
      <c r="K104" s="10">
        <f>IFERROR(VLOOKUP(B104,'Plot Plan'!$A:$B,2,FALSE),"")</f>
      </c>
      <c r="L104" s="10">
        <f>IFERROR(VLOOKUP(B104,'Plot Plan'!$A:$C,3,FALSE),"")</f>
      </c>
    </row>
    <row r="105" spans="1:12" x14ac:dyDescent="0.25">
      <c r="A105" s="13"/>
      <c r="B105" s="11"/>
      <c r="C105" s="11"/>
      <c r="D105" s="11"/>
      <c r="E105" s="11"/>
      <c r="F105" s="11">
        <f>IF(AND(D105&lt;&gt;"",E105&lt;&gt;""),((TIMEVALUE(E105)-TIMEVALUE(D105))*24*60),"")</f>
      </c>
      <c r="G105" s="11"/>
      <c r="H105" s="11"/>
      <c r="I105" s="11">
        <f>IF(G105="","Pending",IF(G105&gt;=J105,"Accepted",IF(G105&gt;=(J105-Configuration!$C$5),"Tolerance","Refusal")))</f>
      </c>
      <c r="J105" s="11">
        <f>IFERROR(VLOOKUP(B105,'Plot Plan'!$A:$D,4,FALSE),"")</f>
      </c>
      <c r="K105" s="11">
        <f>IFERROR(VLOOKUP(B105,'Plot Plan'!$A:$B,2,FALSE),"")</f>
      </c>
      <c r="L105" s="11">
        <f>IFERROR(VLOOKUP(B105,'Plot Plan'!$A:$C,3,FALSE),"")</f>
      </c>
    </row>
    <row r="106" spans="1:12" s="8" customFormat="1" x14ac:dyDescent="0.25">
      <c r="A106" s="12"/>
      <c r="B106" s="10"/>
      <c r="C106" s="10"/>
      <c r="D106" s="10"/>
      <c r="E106" s="10"/>
      <c r="F106" s="10">
        <f>IF(AND(D106&lt;&gt;"",E106&lt;&gt;""),((TIMEVALUE(E106)-TIMEVALUE(D106))*24*60),"")</f>
      </c>
      <c r="G106" s="10"/>
      <c r="H106" s="10"/>
      <c r="I106" s="10">
        <f>IF(G106="","Pending",IF(G106&gt;=J106,"Accepted",IF(G106&gt;=(J106-Configuration!$C$5),"Tolerance","Refusal")))</f>
      </c>
      <c r="J106" s="10">
        <f>IFERROR(VLOOKUP(B106,'Plot Plan'!$A:$D,4,FALSE),"")</f>
      </c>
      <c r="K106" s="10">
        <f>IFERROR(VLOOKUP(B106,'Plot Plan'!$A:$B,2,FALSE),"")</f>
      </c>
      <c r="L106" s="10">
        <f>IFERROR(VLOOKUP(B106,'Plot Plan'!$A:$C,3,FALSE),"")</f>
      </c>
    </row>
    <row r="107" spans="1:12" x14ac:dyDescent="0.25">
      <c r="A107" s="13"/>
      <c r="B107" s="11"/>
      <c r="C107" s="11"/>
      <c r="D107" s="11"/>
      <c r="E107" s="11"/>
      <c r="F107" s="11">
        <f>IF(AND(D107&lt;&gt;"",E107&lt;&gt;""),((TIMEVALUE(E107)-TIMEVALUE(D107))*24*60),"")</f>
      </c>
      <c r="G107" s="11"/>
      <c r="H107" s="11"/>
      <c r="I107" s="11">
        <f>IF(G107="","Pending",IF(G107&gt;=J107,"Accepted",IF(G107&gt;=(J107-Configuration!$C$5),"Tolerance","Refusal")))</f>
      </c>
      <c r="J107" s="11">
        <f>IFERROR(VLOOKUP(B107,'Plot Plan'!$A:$D,4,FALSE),"")</f>
      </c>
      <c r="K107" s="11">
        <f>IFERROR(VLOOKUP(B107,'Plot Plan'!$A:$B,2,FALSE),"")</f>
      </c>
      <c r="L107" s="11">
        <f>IFERROR(VLOOKUP(B107,'Plot Plan'!$A:$C,3,FALSE),"")</f>
      </c>
    </row>
    <row r="108" spans="1:12" s="8" customFormat="1" x14ac:dyDescent="0.25">
      <c r="A108" s="12"/>
      <c r="B108" s="10"/>
      <c r="C108" s="10"/>
      <c r="D108" s="10"/>
      <c r="E108" s="10"/>
      <c r="F108" s="10">
        <f>IF(AND(D108&lt;&gt;"",E108&lt;&gt;""),((TIMEVALUE(E108)-TIMEVALUE(D108))*24*60),"")</f>
      </c>
      <c r="G108" s="10"/>
      <c r="H108" s="10"/>
      <c r="I108" s="10">
        <f>IF(G108="","Pending",IF(G108&gt;=J108,"Accepted",IF(G108&gt;=(J108-Configuration!$C$5),"Tolerance","Refusal")))</f>
      </c>
      <c r="J108" s="10">
        <f>IFERROR(VLOOKUP(B108,'Plot Plan'!$A:$D,4,FALSE),"")</f>
      </c>
      <c r="K108" s="10">
        <f>IFERROR(VLOOKUP(B108,'Plot Plan'!$A:$B,2,FALSE),"")</f>
      </c>
      <c r="L108" s="10">
        <f>IFERROR(VLOOKUP(B108,'Plot Plan'!$A:$C,3,FALSE),"")</f>
      </c>
    </row>
    <row r="109" spans="1:12" x14ac:dyDescent="0.25">
      <c r="A109" s="13"/>
      <c r="B109" s="11"/>
      <c r="C109" s="11"/>
      <c r="D109" s="11"/>
      <c r="E109" s="11"/>
      <c r="F109" s="11">
        <f>IF(AND(D109&lt;&gt;"",E109&lt;&gt;""),((TIMEVALUE(E109)-TIMEVALUE(D109))*24*60),"")</f>
      </c>
      <c r="G109" s="11"/>
      <c r="H109" s="11"/>
      <c r="I109" s="11">
        <f>IF(G109="","Pending",IF(G109&gt;=J109,"Accepted",IF(G109&gt;=(J109-Configuration!$C$5),"Tolerance","Refusal")))</f>
      </c>
      <c r="J109" s="11">
        <f>IFERROR(VLOOKUP(B109,'Plot Plan'!$A:$D,4,FALSE),"")</f>
      </c>
      <c r="K109" s="11">
        <f>IFERROR(VLOOKUP(B109,'Plot Plan'!$A:$B,2,FALSE),"")</f>
      </c>
      <c r="L109" s="11">
        <f>IFERROR(VLOOKUP(B109,'Plot Plan'!$A:$C,3,FALSE),"")</f>
      </c>
    </row>
    <row r="110" spans="1:12" s="8" customFormat="1" x14ac:dyDescent="0.25">
      <c r="A110" s="12"/>
      <c r="B110" s="10"/>
      <c r="C110" s="10"/>
      <c r="D110" s="10"/>
      <c r="E110" s="10"/>
      <c r="F110" s="10">
        <f>IF(AND(D110&lt;&gt;"",E110&lt;&gt;""),((TIMEVALUE(E110)-TIMEVALUE(D110))*24*60),"")</f>
      </c>
      <c r="G110" s="10"/>
      <c r="H110" s="10"/>
      <c r="I110" s="10">
        <f>IF(G110="","Pending",IF(G110&gt;=J110,"Accepted",IF(G110&gt;=(J110-Configuration!$C$5),"Tolerance","Refusal")))</f>
      </c>
      <c r="J110" s="10">
        <f>IFERROR(VLOOKUP(B110,'Plot Plan'!$A:$D,4,FALSE),"")</f>
      </c>
      <c r="K110" s="10">
        <f>IFERROR(VLOOKUP(B110,'Plot Plan'!$A:$B,2,FALSE),"")</f>
      </c>
      <c r="L110" s="10">
        <f>IFERROR(VLOOKUP(B110,'Plot Plan'!$A:$C,3,FALSE),"")</f>
      </c>
    </row>
    <row r="111" spans="1:12" x14ac:dyDescent="0.25">
      <c r="A111" s="13"/>
      <c r="B111" s="11"/>
      <c r="C111" s="11"/>
      <c r="D111" s="11"/>
      <c r="E111" s="11"/>
      <c r="F111" s="11">
        <f>IF(AND(D111&lt;&gt;"",E111&lt;&gt;""),((TIMEVALUE(E111)-TIMEVALUE(D111))*24*60),"")</f>
      </c>
      <c r="G111" s="11"/>
      <c r="H111" s="11"/>
      <c r="I111" s="11">
        <f>IF(G111="","Pending",IF(G111&gt;=J111,"Accepted",IF(G111&gt;=(J111-Configuration!$C$5),"Tolerance","Refusal")))</f>
      </c>
      <c r="J111" s="11">
        <f>IFERROR(VLOOKUP(B111,'Plot Plan'!$A:$D,4,FALSE),"")</f>
      </c>
      <c r="K111" s="11">
        <f>IFERROR(VLOOKUP(B111,'Plot Plan'!$A:$B,2,FALSE),"")</f>
      </c>
      <c r="L111" s="11">
        <f>IFERROR(VLOOKUP(B111,'Plot Plan'!$A:$C,3,FALSE),"")</f>
      </c>
    </row>
    <row r="112" spans="1:12" s="8" customFormat="1" x14ac:dyDescent="0.25">
      <c r="A112" s="12"/>
      <c r="B112" s="10"/>
      <c r="C112" s="10"/>
      <c r="D112" s="10"/>
      <c r="E112" s="10"/>
      <c r="F112" s="10">
        <f>IF(AND(D112&lt;&gt;"",E112&lt;&gt;""),((TIMEVALUE(E112)-TIMEVALUE(D112))*24*60),"")</f>
      </c>
      <c r="G112" s="10"/>
      <c r="H112" s="10"/>
      <c r="I112" s="10">
        <f>IF(G112="","Pending",IF(G112&gt;=J112,"Accepted",IF(G112&gt;=(J112-Configuration!$C$5),"Tolerance","Refusal")))</f>
      </c>
      <c r="J112" s="10">
        <f>IFERROR(VLOOKUP(B112,'Plot Plan'!$A:$D,4,FALSE),"")</f>
      </c>
      <c r="K112" s="10">
        <f>IFERROR(VLOOKUP(B112,'Plot Plan'!$A:$B,2,FALSE),"")</f>
      </c>
      <c r="L112" s="10">
        <f>IFERROR(VLOOKUP(B112,'Plot Plan'!$A:$C,3,FALSE),"")</f>
      </c>
    </row>
    <row r="113" spans="1:12" x14ac:dyDescent="0.25">
      <c r="A113" s="13"/>
      <c r="B113" s="11"/>
      <c r="C113" s="11"/>
      <c r="D113" s="11"/>
      <c r="E113" s="11"/>
      <c r="F113" s="11">
        <f>IF(AND(D113&lt;&gt;"",E113&lt;&gt;""),((TIMEVALUE(E113)-TIMEVALUE(D113))*24*60),"")</f>
      </c>
      <c r="G113" s="11"/>
      <c r="H113" s="11"/>
      <c r="I113" s="11">
        <f>IF(G113="","Pending",IF(G113&gt;=J113,"Accepted",IF(G113&gt;=(J113-Configuration!$C$5),"Tolerance","Refusal")))</f>
      </c>
      <c r="J113" s="11">
        <f>IFERROR(VLOOKUP(B113,'Plot Plan'!$A:$D,4,FALSE),"")</f>
      </c>
      <c r="K113" s="11">
        <f>IFERROR(VLOOKUP(B113,'Plot Plan'!$A:$B,2,FALSE),"")</f>
      </c>
      <c r="L113" s="11">
        <f>IFERROR(VLOOKUP(B113,'Plot Plan'!$A:$C,3,FALSE),"")</f>
      </c>
    </row>
    <row r="114" spans="1:12" s="8" customFormat="1" x14ac:dyDescent="0.25">
      <c r="A114" s="12"/>
      <c r="B114" s="10"/>
      <c r="C114" s="10"/>
      <c r="D114" s="10"/>
      <c r="E114" s="10"/>
      <c r="F114" s="10">
        <f>IF(AND(D114&lt;&gt;"",E114&lt;&gt;""),((TIMEVALUE(E114)-TIMEVALUE(D114))*24*60),"")</f>
      </c>
      <c r="G114" s="10"/>
      <c r="H114" s="10"/>
      <c r="I114" s="10">
        <f>IF(G114="","Pending",IF(G114&gt;=J114,"Accepted",IF(G114&gt;=(J114-Configuration!$C$5),"Tolerance","Refusal")))</f>
      </c>
      <c r="J114" s="10">
        <f>IFERROR(VLOOKUP(B114,'Plot Plan'!$A:$D,4,FALSE),"")</f>
      </c>
      <c r="K114" s="10">
        <f>IFERROR(VLOOKUP(B114,'Plot Plan'!$A:$B,2,FALSE),"")</f>
      </c>
      <c r="L114" s="10">
        <f>IFERROR(VLOOKUP(B114,'Plot Plan'!$A:$C,3,FALSE),"")</f>
      </c>
    </row>
    <row r="115" spans="1:12" x14ac:dyDescent="0.25">
      <c r="A115" s="13"/>
      <c r="B115" s="11"/>
      <c r="C115" s="11"/>
      <c r="D115" s="11"/>
      <c r="E115" s="11"/>
      <c r="F115" s="11">
        <f>IF(AND(D115&lt;&gt;"",E115&lt;&gt;""),((TIMEVALUE(E115)-TIMEVALUE(D115))*24*60),"")</f>
      </c>
      <c r="G115" s="11"/>
      <c r="H115" s="11"/>
      <c r="I115" s="11">
        <f>IF(G115="","Pending",IF(G115&gt;=J115,"Accepted",IF(G115&gt;=(J115-Configuration!$C$5),"Tolerance","Refusal")))</f>
      </c>
      <c r="J115" s="11">
        <f>IFERROR(VLOOKUP(B115,'Plot Plan'!$A:$D,4,FALSE),"")</f>
      </c>
      <c r="K115" s="11">
        <f>IFERROR(VLOOKUP(B115,'Plot Plan'!$A:$B,2,FALSE),"")</f>
      </c>
      <c r="L115" s="11">
        <f>IFERROR(VLOOKUP(B115,'Plot Plan'!$A:$C,3,FALSE),"")</f>
      </c>
    </row>
    <row r="116" spans="1:12" s="8" customFormat="1" x14ac:dyDescent="0.25">
      <c r="A116" s="12"/>
      <c r="B116" s="10"/>
      <c r="C116" s="10"/>
      <c r="D116" s="10"/>
      <c r="E116" s="10"/>
      <c r="F116" s="10">
        <f>IF(AND(D116&lt;&gt;"",E116&lt;&gt;""),((TIMEVALUE(E116)-TIMEVALUE(D116))*24*60),"")</f>
      </c>
      <c r="G116" s="10"/>
      <c r="H116" s="10"/>
      <c r="I116" s="10">
        <f>IF(G116="","Pending",IF(G116&gt;=J116,"Accepted",IF(G116&gt;=(J116-Configuration!$C$5),"Tolerance","Refusal")))</f>
      </c>
      <c r="J116" s="10">
        <f>IFERROR(VLOOKUP(B116,'Plot Plan'!$A:$D,4,FALSE),"")</f>
      </c>
      <c r="K116" s="10">
        <f>IFERROR(VLOOKUP(B116,'Plot Plan'!$A:$B,2,FALSE),"")</f>
      </c>
      <c r="L116" s="10">
        <f>IFERROR(VLOOKUP(B116,'Plot Plan'!$A:$C,3,FALSE),"")</f>
      </c>
    </row>
    <row r="117" spans="1:12" x14ac:dyDescent="0.25">
      <c r="A117" s="13"/>
      <c r="B117" s="11"/>
      <c r="C117" s="11"/>
      <c r="D117" s="11"/>
      <c r="E117" s="11"/>
      <c r="F117" s="11">
        <f>IF(AND(D117&lt;&gt;"",E117&lt;&gt;""),((TIMEVALUE(E117)-TIMEVALUE(D117))*24*60),"")</f>
      </c>
      <c r="G117" s="11"/>
      <c r="H117" s="11"/>
      <c r="I117" s="11">
        <f>IF(G117="","Pending",IF(G117&gt;=J117,"Accepted",IF(G117&gt;=(J117-Configuration!$C$5),"Tolerance","Refusal")))</f>
      </c>
      <c r="J117" s="11">
        <f>IFERROR(VLOOKUP(B117,'Plot Plan'!$A:$D,4,FALSE),"")</f>
      </c>
      <c r="K117" s="11">
        <f>IFERROR(VLOOKUP(B117,'Plot Plan'!$A:$B,2,FALSE),"")</f>
      </c>
      <c r="L117" s="11">
        <f>IFERROR(VLOOKUP(B117,'Plot Plan'!$A:$C,3,FALSE),"")</f>
      </c>
    </row>
    <row r="118" spans="1:12" s="8" customFormat="1" x14ac:dyDescent="0.25">
      <c r="A118" s="12"/>
      <c r="B118" s="10"/>
      <c r="C118" s="10"/>
      <c r="D118" s="10"/>
      <c r="E118" s="10"/>
      <c r="F118" s="10">
        <f>IF(AND(D118&lt;&gt;"",E118&lt;&gt;""),((TIMEVALUE(E118)-TIMEVALUE(D118))*24*60),"")</f>
      </c>
      <c r="G118" s="10"/>
      <c r="H118" s="10"/>
      <c r="I118" s="10">
        <f>IF(G118="","Pending",IF(G118&gt;=J118,"Accepted",IF(G118&gt;=(J118-Configuration!$C$5),"Tolerance","Refusal")))</f>
      </c>
      <c r="J118" s="10">
        <f>IFERROR(VLOOKUP(B118,'Plot Plan'!$A:$D,4,FALSE),"")</f>
      </c>
      <c r="K118" s="10">
        <f>IFERROR(VLOOKUP(B118,'Plot Plan'!$A:$B,2,FALSE),"")</f>
      </c>
      <c r="L118" s="10">
        <f>IFERROR(VLOOKUP(B118,'Plot Plan'!$A:$C,3,FALSE),"")</f>
      </c>
    </row>
    <row r="119" spans="1:12" x14ac:dyDescent="0.25">
      <c r="A119" s="13"/>
      <c r="B119" s="11"/>
      <c r="C119" s="11"/>
      <c r="D119" s="11"/>
      <c r="E119" s="11"/>
      <c r="F119" s="11">
        <f>IF(AND(D119&lt;&gt;"",E119&lt;&gt;""),((TIMEVALUE(E119)-TIMEVALUE(D119))*24*60),"")</f>
      </c>
      <c r="G119" s="11"/>
      <c r="H119" s="11"/>
      <c r="I119" s="11">
        <f>IF(G119="","Pending",IF(G119&gt;=J119,"Accepted",IF(G119&gt;=(J119-Configuration!$C$5),"Tolerance","Refusal")))</f>
      </c>
      <c r="J119" s="11">
        <f>IFERROR(VLOOKUP(B119,'Plot Plan'!$A:$D,4,FALSE),"")</f>
      </c>
      <c r="K119" s="11">
        <f>IFERROR(VLOOKUP(B119,'Plot Plan'!$A:$B,2,FALSE),"")</f>
      </c>
      <c r="L119" s="11">
        <f>IFERROR(VLOOKUP(B119,'Plot Plan'!$A:$C,3,FALSE),"")</f>
      </c>
    </row>
    <row r="120" spans="1:12" s="8" customFormat="1" x14ac:dyDescent="0.25">
      <c r="A120" s="12"/>
      <c r="B120" s="10"/>
      <c r="C120" s="10"/>
      <c r="D120" s="10"/>
      <c r="E120" s="10"/>
      <c r="F120" s="10">
        <f>IF(AND(D120&lt;&gt;"",E120&lt;&gt;""),((TIMEVALUE(E120)-TIMEVALUE(D120))*24*60),"")</f>
      </c>
      <c r="G120" s="10"/>
      <c r="H120" s="10"/>
      <c r="I120" s="10">
        <f>IF(G120="","Pending",IF(G120&gt;=J120,"Accepted",IF(G120&gt;=(J120-Configuration!$C$5),"Tolerance","Refusal")))</f>
      </c>
      <c r="J120" s="10">
        <f>IFERROR(VLOOKUP(B120,'Plot Plan'!$A:$D,4,FALSE),"")</f>
      </c>
      <c r="K120" s="10">
        <f>IFERROR(VLOOKUP(B120,'Plot Plan'!$A:$B,2,FALSE),"")</f>
      </c>
      <c r="L120" s="10">
        <f>IFERROR(VLOOKUP(B120,'Plot Plan'!$A:$C,3,FALSE),"")</f>
      </c>
    </row>
    <row r="121" spans="1:12" x14ac:dyDescent="0.25">
      <c r="A121" s="13"/>
      <c r="B121" s="11"/>
      <c r="C121" s="11"/>
      <c r="D121" s="11"/>
      <c r="E121" s="11"/>
      <c r="F121" s="11">
        <f>IF(AND(D121&lt;&gt;"",E121&lt;&gt;""),((TIMEVALUE(E121)-TIMEVALUE(D121))*24*60),"")</f>
      </c>
      <c r="G121" s="11"/>
      <c r="H121" s="11"/>
      <c r="I121" s="11">
        <f>IF(G121="","Pending",IF(G121&gt;=J121,"Accepted",IF(G121&gt;=(J121-Configuration!$C$5),"Tolerance","Refusal")))</f>
      </c>
      <c r="J121" s="11">
        <f>IFERROR(VLOOKUP(B121,'Plot Plan'!$A:$D,4,FALSE),"")</f>
      </c>
      <c r="K121" s="11">
        <f>IFERROR(VLOOKUP(B121,'Plot Plan'!$A:$B,2,FALSE),"")</f>
      </c>
      <c r="L121" s="11">
        <f>IFERROR(VLOOKUP(B121,'Plot Plan'!$A:$C,3,FALSE),"")</f>
      </c>
    </row>
    <row r="122" spans="1:12" s="8" customFormat="1" x14ac:dyDescent="0.25">
      <c r="A122" s="12"/>
      <c r="B122" s="10"/>
      <c r="C122" s="10"/>
      <c r="D122" s="10"/>
      <c r="E122" s="10"/>
      <c r="F122" s="10">
        <f>IF(AND(D122&lt;&gt;"",E122&lt;&gt;""),((TIMEVALUE(E122)-TIMEVALUE(D122))*24*60),"")</f>
      </c>
      <c r="G122" s="10"/>
      <c r="H122" s="10"/>
      <c r="I122" s="10">
        <f>IF(G122="","Pending",IF(G122&gt;=J122,"Accepted",IF(G122&gt;=(J122-Configuration!$C$5),"Tolerance","Refusal")))</f>
      </c>
      <c r="J122" s="10">
        <f>IFERROR(VLOOKUP(B122,'Plot Plan'!$A:$D,4,FALSE),"")</f>
      </c>
      <c r="K122" s="10">
        <f>IFERROR(VLOOKUP(B122,'Plot Plan'!$A:$B,2,FALSE),"")</f>
      </c>
      <c r="L122" s="10">
        <f>IFERROR(VLOOKUP(B122,'Plot Plan'!$A:$C,3,FALSE),"")</f>
      </c>
    </row>
    <row r="123" spans="1:12" x14ac:dyDescent="0.25">
      <c r="A123" s="13"/>
      <c r="B123" s="11"/>
      <c r="C123" s="11"/>
      <c r="D123" s="11"/>
      <c r="E123" s="11"/>
      <c r="F123" s="11">
        <f>IF(AND(D123&lt;&gt;"",E123&lt;&gt;""),((TIMEVALUE(E123)-TIMEVALUE(D123))*24*60),"")</f>
      </c>
      <c r="G123" s="11"/>
      <c r="H123" s="11"/>
      <c r="I123" s="11">
        <f>IF(G123="","Pending",IF(G123&gt;=J123,"Accepted",IF(G123&gt;=(J123-Configuration!$C$5),"Tolerance","Refusal")))</f>
      </c>
      <c r="J123" s="11">
        <f>IFERROR(VLOOKUP(B123,'Plot Plan'!$A:$D,4,FALSE),"")</f>
      </c>
      <c r="K123" s="11">
        <f>IFERROR(VLOOKUP(B123,'Plot Plan'!$A:$B,2,FALSE),"")</f>
      </c>
      <c r="L123" s="11">
        <f>IFERROR(VLOOKUP(B123,'Plot Plan'!$A:$C,3,FALSE),"")</f>
      </c>
    </row>
    <row r="124" spans="1:12" s="8" customFormat="1" x14ac:dyDescent="0.25">
      <c r="A124" s="12"/>
      <c r="B124" s="10"/>
      <c r="C124" s="10"/>
      <c r="D124" s="10"/>
      <c r="E124" s="10"/>
      <c r="F124" s="10">
        <f>IF(AND(D124&lt;&gt;"",E124&lt;&gt;""),((TIMEVALUE(E124)-TIMEVALUE(D124))*24*60),"")</f>
      </c>
      <c r="G124" s="10"/>
      <c r="H124" s="10"/>
      <c r="I124" s="10">
        <f>IF(G124="","Pending",IF(G124&gt;=J124,"Accepted",IF(G124&gt;=(J124-Configuration!$C$5),"Tolerance","Refusal")))</f>
      </c>
      <c r="J124" s="10">
        <f>IFERROR(VLOOKUP(B124,'Plot Plan'!$A:$D,4,FALSE),"")</f>
      </c>
      <c r="K124" s="10">
        <f>IFERROR(VLOOKUP(B124,'Plot Plan'!$A:$B,2,FALSE),"")</f>
      </c>
      <c r="L124" s="10">
        <f>IFERROR(VLOOKUP(B124,'Plot Plan'!$A:$C,3,FALSE),"")</f>
      </c>
    </row>
    <row r="125" spans="1:12" x14ac:dyDescent="0.25">
      <c r="A125" s="13"/>
      <c r="B125" s="11"/>
      <c r="C125" s="11"/>
      <c r="D125" s="11"/>
      <c r="E125" s="11"/>
      <c r="F125" s="11">
        <f>IF(AND(D125&lt;&gt;"",E125&lt;&gt;""),((TIMEVALUE(E125)-TIMEVALUE(D125))*24*60),"")</f>
      </c>
      <c r="G125" s="11"/>
      <c r="H125" s="11"/>
      <c r="I125" s="11">
        <f>IF(G125="","Pending",IF(G125&gt;=J125,"Accepted",IF(G125&gt;=(J125-Configuration!$C$5),"Tolerance","Refusal")))</f>
      </c>
      <c r="J125" s="11">
        <f>IFERROR(VLOOKUP(B125,'Plot Plan'!$A:$D,4,FALSE),"")</f>
      </c>
      <c r="K125" s="11">
        <f>IFERROR(VLOOKUP(B125,'Plot Plan'!$A:$B,2,FALSE),"")</f>
      </c>
      <c r="L125" s="11">
        <f>IFERROR(VLOOKUP(B125,'Plot Plan'!$A:$C,3,FALSE),"")</f>
      </c>
    </row>
    <row r="126" spans="1:12" s="8" customFormat="1" x14ac:dyDescent="0.25">
      <c r="A126" s="12"/>
      <c r="B126" s="10"/>
      <c r="C126" s="10"/>
      <c r="D126" s="10"/>
      <c r="E126" s="10"/>
      <c r="F126" s="10">
        <f>IF(AND(D126&lt;&gt;"",E126&lt;&gt;""),((TIMEVALUE(E126)-TIMEVALUE(D126))*24*60),"")</f>
      </c>
      <c r="G126" s="10"/>
      <c r="H126" s="10"/>
      <c r="I126" s="10">
        <f>IF(G126="","Pending",IF(G126&gt;=J126,"Accepted",IF(G126&gt;=(J126-Configuration!$C$5),"Tolerance","Refusal")))</f>
      </c>
      <c r="J126" s="10">
        <f>IFERROR(VLOOKUP(B126,'Plot Plan'!$A:$D,4,FALSE),"")</f>
      </c>
      <c r="K126" s="10">
        <f>IFERROR(VLOOKUP(B126,'Plot Plan'!$A:$B,2,FALSE),"")</f>
      </c>
      <c r="L126" s="10">
        <f>IFERROR(VLOOKUP(B126,'Plot Plan'!$A:$C,3,FALSE),"")</f>
      </c>
    </row>
    <row r="127" spans="1:12" x14ac:dyDescent="0.25">
      <c r="A127" s="13"/>
      <c r="B127" s="11"/>
      <c r="C127" s="11"/>
      <c r="D127" s="11"/>
      <c r="E127" s="11"/>
      <c r="F127" s="11">
        <f>IF(AND(D127&lt;&gt;"",E127&lt;&gt;""),((TIMEVALUE(E127)-TIMEVALUE(D127))*24*60),"")</f>
      </c>
      <c r="G127" s="11"/>
      <c r="H127" s="11"/>
      <c r="I127" s="11">
        <f>IF(G127="","Pending",IF(G127&gt;=J127,"Accepted",IF(G127&gt;=(J127-Configuration!$C$5),"Tolerance","Refusal")))</f>
      </c>
      <c r="J127" s="11">
        <f>IFERROR(VLOOKUP(B127,'Plot Plan'!$A:$D,4,FALSE),"")</f>
      </c>
      <c r="K127" s="11">
        <f>IFERROR(VLOOKUP(B127,'Plot Plan'!$A:$B,2,FALSE),"")</f>
      </c>
      <c r="L127" s="11">
        <f>IFERROR(VLOOKUP(B127,'Plot Plan'!$A:$C,3,FALSE),"")</f>
      </c>
    </row>
    <row r="128" spans="1:12" s="8" customFormat="1" x14ac:dyDescent="0.25">
      <c r="A128" s="12"/>
      <c r="B128" s="10"/>
      <c r="C128" s="10"/>
      <c r="D128" s="10"/>
      <c r="E128" s="10"/>
      <c r="F128" s="10">
        <f>IF(AND(D128&lt;&gt;"",E128&lt;&gt;""),((TIMEVALUE(E128)-TIMEVALUE(D128))*24*60),"")</f>
      </c>
      <c r="G128" s="10"/>
      <c r="H128" s="10"/>
      <c r="I128" s="10">
        <f>IF(G128="","Pending",IF(G128&gt;=J128,"Accepted",IF(G128&gt;=(J128-Configuration!$C$5),"Tolerance","Refusal")))</f>
      </c>
      <c r="J128" s="10">
        <f>IFERROR(VLOOKUP(B128,'Plot Plan'!$A:$D,4,FALSE),"")</f>
      </c>
      <c r="K128" s="10">
        <f>IFERROR(VLOOKUP(B128,'Plot Plan'!$A:$B,2,FALSE),"")</f>
      </c>
      <c r="L128" s="10">
        <f>IFERROR(VLOOKUP(B128,'Plot Plan'!$A:$C,3,FALSE),"")</f>
      </c>
    </row>
    <row r="129" spans="1:12" x14ac:dyDescent="0.25">
      <c r="A129" s="13"/>
      <c r="B129" s="11"/>
      <c r="C129" s="11"/>
      <c r="D129" s="11"/>
      <c r="E129" s="11"/>
      <c r="F129" s="11">
        <f>IF(AND(D129&lt;&gt;"",E129&lt;&gt;""),((TIMEVALUE(E129)-TIMEVALUE(D129))*24*60),"")</f>
      </c>
      <c r="G129" s="11"/>
      <c r="H129" s="11"/>
      <c r="I129" s="11">
        <f>IF(G129="","Pending",IF(G129&gt;=J129,"Accepted",IF(G129&gt;=(J129-Configuration!$C$5),"Tolerance","Refusal")))</f>
      </c>
      <c r="J129" s="11">
        <f>IFERROR(VLOOKUP(B129,'Plot Plan'!$A:$D,4,FALSE),"")</f>
      </c>
      <c r="K129" s="11">
        <f>IFERROR(VLOOKUP(B129,'Plot Plan'!$A:$B,2,FALSE),"")</f>
      </c>
      <c r="L129" s="11">
        <f>IFERROR(VLOOKUP(B129,'Plot Plan'!$A:$C,3,FALSE),"")</f>
      </c>
    </row>
    <row r="130" spans="1:12" s="8" customFormat="1" x14ac:dyDescent="0.25">
      <c r="A130" s="12"/>
      <c r="B130" s="10"/>
      <c r="C130" s="10"/>
      <c r="D130" s="10"/>
      <c r="E130" s="10"/>
      <c r="F130" s="10">
        <f>IF(AND(D130&lt;&gt;"",E130&lt;&gt;""),((TIMEVALUE(E130)-TIMEVALUE(D130))*24*60),"")</f>
      </c>
      <c r="G130" s="10"/>
      <c r="H130" s="10"/>
      <c r="I130" s="10">
        <f>IF(G130="","Pending",IF(G130&gt;=J130,"Accepted",IF(G130&gt;=(J130-Configuration!$C$5),"Tolerance","Refusal")))</f>
      </c>
      <c r="J130" s="10">
        <f>IFERROR(VLOOKUP(B130,'Plot Plan'!$A:$D,4,FALSE),"")</f>
      </c>
      <c r="K130" s="10">
        <f>IFERROR(VLOOKUP(B130,'Plot Plan'!$A:$B,2,FALSE),"")</f>
      </c>
      <c r="L130" s="10">
        <f>IFERROR(VLOOKUP(B130,'Plot Plan'!$A:$C,3,FALSE),"")</f>
      </c>
    </row>
    <row r="131" spans="1:12" x14ac:dyDescent="0.25">
      <c r="A131" s="13"/>
      <c r="B131" s="11"/>
      <c r="C131" s="11"/>
      <c r="D131" s="11"/>
      <c r="E131" s="11"/>
      <c r="F131" s="11">
        <f>IF(AND(D131&lt;&gt;"",E131&lt;&gt;""),((TIMEVALUE(E131)-TIMEVALUE(D131))*24*60),"")</f>
      </c>
      <c r="G131" s="11"/>
      <c r="H131" s="11"/>
      <c r="I131" s="11">
        <f>IF(G131="","Pending",IF(G131&gt;=J131,"Accepted",IF(G131&gt;=(J131-Configuration!$C$5),"Tolerance","Refusal")))</f>
      </c>
      <c r="J131" s="11">
        <f>IFERROR(VLOOKUP(B131,'Plot Plan'!$A:$D,4,FALSE),"")</f>
      </c>
      <c r="K131" s="11">
        <f>IFERROR(VLOOKUP(B131,'Plot Plan'!$A:$B,2,FALSE),"")</f>
      </c>
      <c r="L131" s="11">
        <f>IFERROR(VLOOKUP(B131,'Plot Plan'!$A:$C,3,FALSE),"")</f>
      </c>
    </row>
    <row r="132" spans="1:12" s="8" customFormat="1" x14ac:dyDescent="0.25">
      <c r="A132" s="12"/>
      <c r="B132" s="10"/>
      <c r="C132" s="10"/>
      <c r="D132" s="10"/>
      <c r="E132" s="10"/>
      <c r="F132" s="10">
        <f>IF(AND(D132&lt;&gt;"",E132&lt;&gt;""),((TIMEVALUE(E132)-TIMEVALUE(D132))*24*60),"")</f>
      </c>
      <c r="G132" s="10"/>
      <c r="H132" s="10"/>
      <c r="I132" s="10">
        <f>IF(G132="","Pending",IF(G132&gt;=J132,"Accepted",IF(G132&gt;=(J132-Configuration!$C$5),"Tolerance","Refusal")))</f>
      </c>
      <c r="J132" s="10">
        <f>IFERROR(VLOOKUP(B132,'Plot Plan'!$A:$D,4,FALSE),"")</f>
      </c>
      <c r="K132" s="10">
        <f>IFERROR(VLOOKUP(B132,'Plot Plan'!$A:$B,2,FALSE),"")</f>
      </c>
      <c r="L132" s="10">
        <f>IFERROR(VLOOKUP(B132,'Plot Plan'!$A:$C,3,FALSE),"")</f>
      </c>
    </row>
    <row r="133" spans="1:12" x14ac:dyDescent="0.25">
      <c r="A133" s="13"/>
      <c r="B133" s="11"/>
      <c r="C133" s="11"/>
      <c r="D133" s="11"/>
      <c r="E133" s="11"/>
      <c r="F133" s="11">
        <f>IF(AND(D133&lt;&gt;"",E133&lt;&gt;""),((TIMEVALUE(E133)-TIMEVALUE(D133))*24*60),"")</f>
      </c>
      <c r="G133" s="11"/>
      <c r="H133" s="11"/>
      <c r="I133" s="11">
        <f>IF(G133="","Pending",IF(G133&gt;=J133,"Accepted",IF(G133&gt;=(J133-Configuration!$C$5),"Tolerance","Refusal")))</f>
      </c>
      <c r="J133" s="11">
        <f>IFERROR(VLOOKUP(B133,'Plot Plan'!$A:$D,4,FALSE),"")</f>
      </c>
      <c r="K133" s="11">
        <f>IFERROR(VLOOKUP(B133,'Plot Plan'!$A:$B,2,FALSE),"")</f>
      </c>
      <c r="L133" s="11">
        <f>IFERROR(VLOOKUP(B133,'Plot Plan'!$A:$C,3,FALSE),"")</f>
      </c>
    </row>
    <row r="134" spans="1:12" s="8" customFormat="1" x14ac:dyDescent="0.25">
      <c r="A134" s="12"/>
      <c r="B134" s="10"/>
      <c r="C134" s="10"/>
      <c r="D134" s="10"/>
      <c r="E134" s="10"/>
      <c r="F134" s="10">
        <f>IF(AND(D134&lt;&gt;"",E134&lt;&gt;""),((TIMEVALUE(E134)-TIMEVALUE(D134))*24*60),"")</f>
      </c>
      <c r="G134" s="10"/>
      <c r="H134" s="10"/>
      <c r="I134" s="10">
        <f>IF(G134="","Pending",IF(G134&gt;=J134,"Accepted",IF(G134&gt;=(J134-Configuration!$C$5),"Tolerance","Refusal")))</f>
      </c>
      <c r="J134" s="10">
        <f>IFERROR(VLOOKUP(B134,'Plot Plan'!$A:$D,4,FALSE),"")</f>
      </c>
      <c r="K134" s="10">
        <f>IFERROR(VLOOKUP(B134,'Plot Plan'!$A:$B,2,FALSE),"")</f>
      </c>
      <c r="L134" s="10">
        <f>IFERROR(VLOOKUP(B134,'Plot Plan'!$A:$C,3,FALSE),"")</f>
      </c>
    </row>
    <row r="135" spans="1:12" x14ac:dyDescent="0.25">
      <c r="A135" s="13"/>
      <c r="B135" s="11"/>
      <c r="C135" s="11"/>
      <c r="D135" s="11"/>
      <c r="E135" s="11"/>
      <c r="F135" s="11">
        <f>IF(AND(D135&lt;&gt;"",E135&lt;&gt;""),((TIMEVALUE(E135)-TIMEVALUE(D135))*24*60),"")</f>
      </c>
      <c r="G135" s="11"/>
      <c r="H135" s="11"/>
      <c r="I135" s="11">
        <f>IF(G135="","Pending",IF(G135&gt;=J135,"Accepted",IF(G135&gt;=(J135-Configuration!$C$5),"Tolerance","Refusal")))</f>
      </c>
      <c r="J135" s="11">
        <f>IFERROR(VLOOKUP(B135,'Plot Plan'!$A:$D,4,FALSE),"")</f>
      </c>
      <c r="K135" s="11">
        <f>IFERROR(VLOOKUP(B135,'Plot Plan'!$A:$B,2,FALSE),"")</f>
      </c>
      <c r="L135" s="11">
        <f>IFERROR(VLOOKUP(B135,'Plot Plan'!$A:$C,3,FALSE),"")</f>
      </c>
    </row>
    <row r="136" spans="1:12" s="8" customFormat="1" x14ac:dyDescent="0.25">
      <c r="A136" s="12"/>
      <c r="B136" s="10"/>
      <c r="C136" s="10"/>
      <c r="D136" s="10"/>
      <c r="E136" s="10"/>
      <c r="F136" s="10">
        <f>IF(AND(D136&lt;&gt;"",E136&lt;&gt;""),((TIMEVALUE(E136)-TIMEVALUE(D136))*24*60),"")</f>
      </c>
      <c r="G136" s="10"/>
      <c r="H136" s="10"/>
      <c r="I136" s="10">
        <f>IF(G136="","Pending",IF(G136&gt;=J136,"Accepted",IF(G136&gt;=(J136-Configuration!$C$5),"Tolerance","Refusal")))</f>
      </c>
      <c r="J136" s="10">
        <f>IFERROR(VLOOKUP(B136,'Plot Plan'!$A:$D,4,FALSE),"")</f>
      </c>
      <c r="K136" s="10">
        <f>IFERROR(VLOOKUP(B136,'Plot Plan'!$A:$B,2,FALSE),"")</f>
      </c>
      <c r="L136" s="10">
        <f>IFERROR(VLOOKUP(B136,'Plot Plan'!$A:$C,3,FALSE),"")</f>
      </c>
    </row>
    <row r="137" spans="1:12" x14ac:dyDescent="0.25">
      <c r="A137" s="13"/>
      <c r="B137" s="11"/>
      <c r="C137" s="11"/>
      <c r="D137" s="11"/>
      <c r="E137" s="11"/>
      <c r="F137" s="11">
        <f>IF(AND(D137&lt;&gt;"",E137&lt;&gt;""),((TIMEVALUE(E137)-TIMEVALUE(D137))*24*60),"")</f>
      </c>
      <c r="G137" s="11"/>
      <c r="H137" s="11"/>
      <c r="I137" s="11">
        <f>IF(G137="","Pending",IF(G137&gt;=J137,"Accepted",IF(G137&gt;=(J137-Configuration!$C$5),"Tolerance","Refusal")))</f>
      </c>
      <c r="J137" s="11">
        <f>IFERROR(VLOOKUP(B137,'Plot Plan'!$A:$D,4,FALSE),"")</f>
      </c>
      <c r="K137" s="11">
        <f>IFERROR(VLOOKUP(B137,'Plot Plan'!$A:$B,2,FALSE),"")</f>
      </c>
      <c r="L137" s="11">
        <f>IFERROR(VLOOKUP(B137,'Plot Plan'!$A:$C,3,FALSE),"")</f>
      </c>
    </row>
    <row r="138" spans="1:12" s="8" customFormat="1" x14ac:dyDescent="0.25">
      <c r="A138" s="12"/>
      <c r="B138" s="10"/>
      <c r="C138" s="10"/>
      <c r="D138" s="10"/>
      <c r="E138" s="10"/>
      <c r="F138" s="10">
        <f>IF(AND(D138&lt;&gt;"",E138&lt;&gt;""),((TIMEVALUE(E138)-TIMEVALUE(D138))*24*60),"")</f>
      </c>
      <c r="G138" s="10"/>
      <c r="H138" s="10"/>
      <c r="I138" s="10">
        <f>IF(G138="","Pending",IF(G138&gt;=J138,"Accepted",IF(G138&gt;=(J138-Configuration!$C$5),"Tolerance","Refusal")))</f>
      </c>
      <c r="J138" s="10">
        <f>IFERROR(VLOOKUP(B138,'Plot Plan'!$A:$D,4,FALSE),"")</f>
      </c>
      <c r="K138" s="10">
        <f>IFERROR(VLOOKUP(B138,'Plot Plan'!$A:$B,2,FALSE),"")</f>
      </c>
      <c r="L138" s="10">
        <f>IFERROR(VLOOKUP(B138,'Plot Plan'!$A:$C,3,FALSE),"")</f>
      </c>
    </row>
    <row r="139" spans="1:12" x14ac:dyDescent="0.25">
      <c r="A139" s="13"/>
      <c r="B139" s="11"/>
      <c r="C139" s="11"/>
      <c r="D139" s="11"/>
      <c r="E139" s="11"/>
      <c r="F139" s="11">
        <f>IF(AND(D139&lt;&gt;"",E139&lt;&gt;""),((TIMEVALUE(E139)-TIMEVALUE(D139))*24*60),"")</f>
      </c>
      <c r="G139" s="11"/>
      <c r="H139" s="11"/>
      <c r="I139" s="11">
        <f>IF(G139="","Pending",IF(G139&gt;=J139,"Accepted",IF(G139&gt;=(J139-Configuration!$C$5),"Tolerance","Refusal")))</f>
      </c>
      <c r="J139" s="11">
        <f>IFERROR(VLOOKUP(B139,'Plot Plan'!$A:$D,4,FALSE),"")</f>
      </c>
      <c r="K139" s="11">
        <f>IFERROR(VLOOKUP(B139,'Plot Plan'!$A:$B,2,FALSE),"")</f>
      </c>
      <c r="L139" s="11">
        <f>IFERROR(VLOOKUP(B139,'Plot Plan'!$A:$C,3,FALSE),"")</f>
      </c>
    </row>
    <row r="140" spans="1:12" s="8" customFormat="1" x14ac:dyDescent="0.25">
      <c r="A140" s="12"/>
      <c r="B140" s="10"/>
      <c r="C140" s="10"/>
      <c r="D140" s="10"/>
      <c r="E140" s="10"/>
      <c r="F140" s="10">
        <f>IF(AND(D140&lt;&gt;"",E140&lt;&gt;""),((TIMEVALUE(E140)-TIMEVALUE(D140))*24*60),"")</f>
      </c>
      <c r="G140" s="10"/>
      <c r="H140" s="10"/>
      <c r="I140" s="10">
        <f>IF(G140="","Pending",IF(G140&gt;=J140,"Accepted",IF(G140&gt;=(J140-Configuration!$C$5),"Tolerance","Refusal")))</f>
      </c>
      <c r="J140" s="10">
        <f>IFERROR(VLOOKUP(B140,'Plot Plan'!$A:$D,4,FALSE),"")</f>
      </c>
      <c r="K140" s="10">
        <f>IFERROR(VLOOKUP(B140,'Plot Plan'!$A:$B,2,FALSE),"")</f>
      </c>
      <c r="L140" s="10">
        <f>IFERROR(VLOOKUP(B140,'Plot Plan'!$A:$C,3,FALSE),"")</f>
      </c>
    </row>
    <row r="141" spans="1:12" x14ac:dyDescent="0.25">
      <c r="A141" s="13"/>
      <c r="B141" s="11"/>
      <c r="C141" s="11"/>
      <c r="D141" s="11"/>
      <c r="E141" s="11"/>
      <c r="F141" s="11">
        <f>IF(AND(D141&lt;&gt;"",E141&lt;&gt;""),((TIMEVALUE(E141)-TIMEVALUE(D141))*24*60),"")</f>
      </c>
      <c r="G141" s="11"/>
      <c r="H141" s="11"/>
      <c r="I141" s="11">
        <f>IF(G141="","Pending",IF(G141&gt;=J141,"Accepted",IF(G141&gt;=(J141-Configuration!$C$5),"Tolerance","Refusal")))</f>
      </c>
      <c r="J141" s="11">
        <f>IFERROR(VLOOKUP(B141,'Plot Plan'!$A:$D,4,FALSE),"")</f>
      </c>
      <c r="K141" s="11">
        <f>IFERROR(VLOOKUP(B141,'Plot Plan'!$A:$B,2,FALSE),"")</f>
      </c>
      <c r="L141" s="11">
        <f>IFERROR(VLOOKUP(B141,'Plot Plan'!$A:$C,3,FALSE),"")</f>
      </c>
    </row>
    <row r="142" spans="1:12" s="8" customFormat="1" x14ac:dyDescent="0.25">
      <c r="A142" s="12"/>
      <c r="B142" s="10"/>
      <c r="C142" s="10"/>
      <c r="D142" s="10"/>
      <c r="E142" s="10"/>
      <c r="F142" s="10">
        <f>IF(AND(D142&lt;&gt;"",E142&lt;&gt;""),((TIMEVALUE(E142)-TIMEVALUE(D142))*24*60),"")</f>
      </c>
      <c r="G142" s="10"/>
      <c r="H142" s="10"/>
      <c r="I142" s="10">
        <f>IF(G142="","Pending",IF(G142&gt;=J142,"Accepted",IF(G142&gt;=(J142-Configuration!$C$5),"Tolerance","Refusal")))</f>
      </c>
      <c r="J142" s="10">
        <f>IFERROR(VLOOKUP(B142,'Plot Plan'!$A:$D,4,FALSE),"")</f>
      </c>
      <c r="K142" s="10">
        <f>IFERROR(VLOOKUP(B142,'Plot Plan'!$A:$B,2,FALSE),"")</f>
      </c>
      <c r="L142" s="10">
        <f>IFERROR(VLOOKUP(B142,'Plot Plan'!$A:$C,3,FALSE),"")</f>
      </c>
    </row>
    <row r="143" spans="1:12" x14ac:dyDescent="0.25">
      <c r="A143" s="13"/>
      <c r="B143" s="11"/>
      <c r="C143" s="11"/>
      <c r="D143" s="11"/>
      <c r="E143" s="11"/>
      <c r="F143" s="11">
        <f>IF(AND(D143&lt;&gt;"",E143&lt;&gt;""),((TIMEVALUE(E143)-TIMEVALUE(D143))*24*60),"")</f>
      </c>
      <c r="G143" s="11"/>
      <c r="H143" s="11"/>
      <c r="I143" s="11">
        <f>IF(G143="","Pending",IF(G143&gt;=J143,"Accepted",IF(G143&gt;=(J143-Configuration!$C$5),"Tolerance","Refusal")))</f>
      </c>
      <c r="J143" s="11">
        <f>IFERROR(VLOOKUP(B143,'Plot Plan'!$A:$D,4,FALSE),"")</f>
      </c>
      <c r="K143" s="11">
        <f>IFERROR(VLOOKUP(B143,'Plot Plan'!$A:$B,2,FALSE),"")</f>
      </c>
      <c r="L143" s="11">
        <f>IFERROR(VLOOKUP(B143,'Plot Plan'!$A:$C,3,FALSE),"")</f>
      </c>
    </row>
    <row r="144" spans="1:12" s="8" customFormat="1" x14ac:dyDescent="0.25">
      <c r="A144" s="12"/>
      <c r="B144" s="10"/>
      <c r="C144" s="10"/>
      <c r="D144" s="10"/>
      <c r="E144" s="10"/>
      <c r="F144" s="10">
        <f>IF(AND(D144&lt;&gt;"",E144&lt;&gt;""),((TIMEVALUE(E144)-TIMEVALUE(D144))*24*60),"")</f>
      </c>
      <c r="G144" s="10"/>
      <c r="H144" s="10"/>
      <c r="I144" s="10">
        <f>IF(G144="","Pending",IF(G144&gt;=J144,"Accepted",IF(G144&gt;=(J144-Configuration!$C$5),"Tolerance","Refusal")))</f>
      </c>
      <c r="J144" s="10">
        <f>IFERROR(VLOOKUP(B144,'Plot Plan'!$A:$D,4,FALSE),"")</f>
      </c>
      <c r="K144" s="10">
        <f>IFERROR(VLOOKUP(B144,'Plot Plan'!$A:$B,2,FALSE),"")</f>
      </c>
      <c r="L144" s="10">
        <f>IFERROR(VLOOKUP(B144,'Plot Plan'!$A:$C,3,FALSE),"")</f>
      </c>
    </row>
    <row r="145" spans="1:12" x14ac:dyDescent="0.25">
      <c r="A145" s="13"/>
      <c r="B145" s="11"/>
      <c r="C145" s="11"/>
      <c r="D145" s="11"/>
      <c r="E145" s="11"/>
      <c r="F145" s="11">
        <f>IF(AND(D145&lt;&gt;"",E145&lt;&gt;""),((TIMEVALUE(E145)-TIMEVALUE(D145))*24*60),"")</f>
      </c>
      <c r="G145" s="11"/>
      <c r="H145" s="11"/>
      <c r="I145" s="11">
        <f>IF(G145="","Pending",IF(G145&gt;=J145,"Accepted",IF(G145&gt;=(J145-Configuration!$C$5),"Tolerance","Refusal")))</f>
      </c>
      <c r="J145" s="11">
        <f>IFERROR(VLOOKUP(B145,'Plot Plan'!$A:$D,4,FALSE),"")</f>
      </c>
      <c r="K145" s="11">
        <f>IFERROR(VLOOKUP(B145,'Plot Plan'!$A:$B,2,FALSE),"")</f>
      </c>
      <c r="L145" s="11">
        <f>IFERROR(VLOOKUP(B145,'Plot Plan'!$A:$C,3,FALSE),"")</f>
      </c>
    </row>
    <row r="146" spans="1:12" s="8" customFormat="1" x14ac:dyDescent="0.25">
      <c r="A146" s="12"/>
      <c r="B146" s="10"/>
      <c r="C146" s="10"/>
      <c r="D146" s="10"/>
      <c r="E146" s="10"/>
      <c r="F146" s="10">
        <f>IF(AND(D146&lt;&gt;"",E146&lt;&gt;""),((TIMEVALUE(E146)-TIMEVALUE(D146))*24*60),"")</f>
      </c>
      <c r="G146" s="10"/>
      <c r="H146" s="10"/>
      <c r="I146" s="10">
        <f>IF(G146="","Pending",IF(G146&gt;=J146,"Accepted",IF(G146&gt;=(J146-Configuration!$C$5),"Tolerance","Refusal")))</f>
      </c>
      <c r="J146" s="10">
        <f>IFERROR(VLOOKUP(B146,'Plot Plan'!$A:$D,4,FALSE),"")</f>
      </c>
      <c r="K146" s="10">
        <f>IFERROR(VLOOKUP(B146,'Plot Plan'!$A:$B,2,FALSE),"")</f>
      </c>
      <c r="L146" s="10">
        <f>IFERROR(VLOOKUP(B146,'Plot Plan'!$A:$C,3,FALSE),"")</f>
      </c>
    </row>
    <row r="147" spans="1:12" x14ac:dyDescent="0.25">
      <c r="A147" s="13"/>
      <c r="B147" s="11"/>
      <c r="C147" s="11"/>
      <c r="D147" s="11"/>
      <c r="E147" s="11"/>
      <c r="F147" s="11">
        <f>IF(AND(D147&lt;&gt;"",E147&lt;&gt;""),((TIMEVALUE(E147)-TIMEVALUE(D147))*24*60),"")</f>
      </c>
      <c r="G147" s="11"/>
      <c r="H147" s="11"/>
      <c r="I147" s="11">
        <f>IF(G147="","Pending",IF(G147&gt;=J147,"Accepted",IF(G147&gt;=(J147-Configuration!$C$5),"Tolerance","Refusal")))</f>
      </c>
      <c r="J147" s="11">
        <f>IFERROR(VLOOKUP(B147,'Plot Plan'!$A:$D,4,FALSE),"")</f>
      </c>
      <c r="K147" s="11">
        <f>IFERROR(VLOOKUP(B147,'Plot Plan'!$A:$B,2,FALSE),"")</f>
      </c>
      <c r="L147" s="11">
        <f>IFERROR(VLOOKUP(B147,'Plot Plan'!$A:$C,3,FALSE),"")</f>
      </c>
    </row>
    <row r="148" spans="1:12" s="8" customFormat="1" x14ac:dyDescent="0.25">
      <c r="A148" s="12"/>
      <c r="B148" s="10"/>
      <c r="C148" s="10"/>
      <c r="D148" s="10"/>
      <c r="E148" s="10"/>
      <c r="F148" s="10">
        <f>IF(AND(D148&lt;&gt;"",E148&lt;&gt;""),((TIMEVALUE(E148)-TIMEVALUE(D148))*24*60),"")</f>
      </c>
      <c r="G148" s="10"/>
      <c r="H148" s="10"/>
      <c r="I148" s="10">
        <f>IF(G148="","Pending",IF(G148&gt;=J148,"Accepted",IF(G148&gt;=(J148-Configuration!$C$5),"Tolerance","Refusal")))</f>
      </c>
      <c r="J148" s="10">
        <f>IFERROR(VLOOKUP(B148,'Plot Plan'!$A:$D,4,FALSE),"")</f>
      </c>
      <c r="K148" s="10">
        <f>IFERROR(VLOOKUP(B148,'Plot Plan'!$A:$B,2,FALSE),"")</f>
      </c>
      <c r="L148" s="10">
        <f>IFERROR(VLOOKUP(B148,'Plot Plan'!$A:$C,3,FALSE),"")</f>
      </c>
    </row>
    <row r="149" spans="1:12" x14ac:dyDescent="0.25">
      <c r="A149" s="13"/>
      <c r="B149" s="11"/>
      <c r="C149" s="11"/>
      <c r="D149" s="11"/>
      <c r="E149" s="11"/>
      <c r="F149" s="11">
        <f>IF(AND(D149&lt;&gt;"",E149&lt;&gt;""),((TIMEVALUE(E149)-TIMEVALUE(D149))*24*60),"")</f>
      </c>
      <c r="G149" s="11"/>
      <c r="H149" s="11"/>
      <c r="I149" s="11">
        <f>IF(G149="","Pending",IF(G149&gt;=J149,"Accepted",IF(G149&gt;=(J149-Configuration!$C$5),"Tolerance","Refusal")))</f>
      </c>
      <c r="J149" s="11">
        <f>IFERROR(VLOOKUP(B149,'Plot Plan'!$A:$D,4,FALSE),"")</f>
      </c>
      <c r="K149" s="11">
        <f>IFERROR(VLOOKUP(B149,'Plot Plan'!$A:$B,2,FALSE),"")</f>
      </c>
      <c r="L149" s="11">
        <f>IFERROR(VLOOKUP(B149,'Plot Plan'!$A:$C,3,FALSE),"")</f>
      </c>
    </row>
    <row r="150" spans="1:12" s="8" customFormat="1" x14ac:dyDescent="0.25">
      <c r="A150" s="12"/>
      <c r="B150" s="10"/>
      <c r="C150" s="10"/>
      <c r="D150" s="10"/>
      <c r="E150" s="10"/>
      <c r="F150" s="10">
        <f>IF(AND(D150&lt;&gt;"",E150&lt;&gt;""),((TIMEVALUE(E150)-TIMEVALUE(D150))*24*60),"")</f>
      </c>
      <c r="G150" s="10"/>
      <c r="H150" s="10"/>
      <c r="I150" s="10">
        <f>IF(G150="","Pending",IF(G150&gt;=J150,"Accepted",IF(G150&gt;=(J150-Configuration!$C$5),"Tolerance","Refusal")))</f>
      </c>
      <c r="J150" s="10">
        <f>IFERROR(VLOOKUP(B150,'Plot Plan'!$A:$D,4,FALSE),"")</f>
      </c>
      <c r="K150" s="10">
        <f>IFERROR(VLOOKUP(B150,'Plot Plan'!$A:$B,2,FALSE),"")</f>
      </c>
      <c r="L150" s="10">
        <f>IFERROR(VLOOKUP(B150,'Plot Plan'!$A:$C,3,FALSE),"")</f>
      </c>
    </row>
    <row r="151" spans="1:12" x14ac:dyDescent="0.25">
      <c r="A151" s="13"/>
      <c r="B151" s="11"/>
      <c r="C151" s="11"/>
      <c r="D151" s="11"/>
      <c r="E151" s="11"/>
      <c r="F151" s="11">
        <f>IF(AND(D151&lt;&gt;"",E151&lt;&gt;""),((TIMEVALUE(E151)-TIMEVALUE(D151))*24*60),"")</f>
      </c>
      <c r="G151" s="11"/>
      <c r="H151" s="11"/>
      <c r="I151" s="11">
        <f>IF(G151="","Pending",IF(G151&gt;=J151,"Accepted",IF(G151&gt;=(J151-Configuration!$C$5),"Tolerance","Refusal")))</f>
      </c>
      <c r="J151" s="11">
        <f>IFERROR(VLOOKUP(B151,'Plot Plan'!$A:$D,4,FALSE),"")</f>
      </c>
      <c r="K151" s="11">
        <f>IFERROR(VLOOKUP(B151,'Plot Plan'!$A:$B,2,FALSE),"")</f>
      </c>
      <c r="L151" s="11">
        <f>IFERROR(VLOOKUP(B151,'Plot Plan'!$A:$C,3,FALSE),"")</f>
      </c>
    </row>
    <row r="152" spans="1:12" s="8" customFormat="1" x14ac:dyDescent="0.25">
      <c r="A152" s="12"/>
      <c r="B152" s="10"/>
      <c r="C152" s="10"/>
      <c r="D152" s="10"/>
      <c r="E152" s="10"/>
      <c r="F152" s="10">
        <f>IF(AND(D152&lt;&gt;"",E152&lt;&gt;""),((TIMEVALUE(E152)-TIMEVALUE(D152))*24*60),"")</f>
      </c>
      <c r="G152" s="10"/>
      <c r="H152" s="10"/>
      <c r="I152" s="10">
        <f>IF(G152="","Pending",IF(G152&gt;=J152,"Accepted",IF(G152&gt;=(J152-Configuration!$C$5),"Tolerance","Refusal")))</f>
      </c>
      <c r="J152" s="10">
        <f>IFERROR(VLOOKUP(B152,'Plot Plan'!$A:$D,4,FALSE),"")</f>
      </c>
      <c r="K152" s="10">
        <f>IFERROR(VLOOKUP(B152,'Plot Plan'!$A:$B,2,FALSE),"")</f>
      </c>
      <c r="L152" s="10">
        <f>IFERROR(VLOOKUP(B152,'Plot Plan'!$A:$C,3,FALSE),"")</f>
      </c>
    </row>
    <row r="153" spans="1:12" x14ac:dyDescent="0.25">
      <c r="A153" s="13"/>
      <c r="B153" s="11"/>
      <c r="C153" s="11"/>
      <c r="D153" s="11"/>
      <c r="E153" s="11"/>
      <c r="F153" s="11">
        <f>IF(AND(D153&lt;&gt;"",E153&lt;&gt;""),((TIMEVALUE(E153)-TIMEVALUE(D153))*24*60),"")</f>
      </c>
      <c r="G153" s="11"/>
      <c r="H153" s="11"/>
      <c r="I153" s="11">
        <f>IF(G153="","Pending",IF(G153&gt;=J153,"Accepted",IF(G153&gt;=(J153-Configuration!$C$5),"Tolerance","Refusal")))</f>
      </c>
      <c r="J153" s="11">
        <f>IFERROR(VLOOKUP(B153,'Plot Plan'!$A:$D,4,FALSE),"")</f>
      </c>
      <c r="K153" s="11">
        <f>IFERROR(VLOOKUP(B153,'Plot Plan'!$A:$B,2,FALSE),"")</f>
      </c>
      <c r="L153" s="11">
        <f>IFERROR(VLOOKUP(B153,'Plot Plan'!$A:$C,3,FALSE),"")</f>
      </c>
    </row>
    <row r="154" spans="1:12" s="8" customFormat="1" x14ac:dyDescent="0.25">
      <c r="A154" s="12"/>
      <c r="B154" s="10"/>
      <c r="C154" s="10"/>
      <c r="D154" s="10"/>
      <c r="E154" s="10"/>
      <c r="F154" s="10">
        <f>IF(AND(D154&lt;&gt;"",E154&lt;&gt;""),((TIMEVALUE(E154)-TIMEVALUE(D154))*24*60),"")</f>
      </c>
      <c r="G154" s="10"/>
      <c r="H154" s="10"/>
      <c r="I154" s="10">
        <f>IF(G154="","Pending",IF(G154&gt;=J154,"Accepted",IF(G154&gt;=(J154-Configuration!$C$5),"Tolerance","Refusal")))</f>
      </c>
      <c r="J154" s="10">
        <f>IFERROR(VLOOKUP(B154,'Plot Plan'!$A:$D,4,FALSE),"")</f>
      </c>
      <c r="K154" s="10">
        <f>IFERROR(VLOOKUP(B154,'Plot Plan'!$A:$B,2,FALSE),"")</f>
      </c>
      <c r="L154" s="10">
        <f>IFERROR(VLOOKUP(B154,'Plot Plan'!$A:$C,3,FALSE),"")</f>
      </c>
    </row>
    <row r="155" spans="1:12" x14ac:dyDescent="0.25">
      <c r="A155" s="13"/>
      <c r="B155" s="11"/>
      <c r="C155" s="11"/>
      <c r="D155" s="11"/>
      <c r="E155" s="11"/>
      <c r="F155" s="11">
        <f>IF(AND(D155&lt;&gt;"",E155&lt;&gt;""),((TIMEVALUE(E155)-TIMEVALUE(D155))*24*60),"")</f>
      </c>
      <c r="G155" s="11"/>
      <c r="H155" s="11"/>
      <c r="I155" s="11">
        <f>IF(G155="","Pending",IF(G155&gt;=J155,"Accepted",IF(G155&gt;=(J155-Configuration!$C$5),"Tolerance","Refusal")))</f>
      </c>
      <c r="J155" s="11">
        <f>IFERROR(VLOOKUP(B155,'Plot Plan'!$A:$D,4,FALSE),"")</f>
      </c>
      <c r="K155" s="11">
        <f>IFERROR(VLOOKUP(B155,'Plot Plan'!$A:$B,2,FALSE),"")</f>
      </c>
      <c r="L155" s="11">
        <f>IFERROR(VLOOKUP(B155,'Plot Plan'!$A:$C,3,FALSE),"")</f>
      </c>
    </row>
    <row r="156" spans="1:12" s="8" customFormat="1" x14ac:dyDescent="0.25">
      <c r="A156" s="12"/>
      <c r="B156" s="10"/>
      <c r="C156" s="10"/>
      <c r="D156" s="10"/>
      <c r="E156" s="10"/>
      <c r="F156" s="10">
        <f>IF(AND(D156&lt;&gt;"",E156&lt;&gt;""),((TIMEVALUE(E156)-TIMEVALUE(D156))*24*60),"")</f>
      </c>
      <c r="G156" s="10"/>
      <c r="H156" s="10"/>
      <c r="I156" s="10">
        <f>IF(G156="","Pending",IF(G156&gt;=J156,"Accepted",IF(G156&gt;=(J156-Configuration!$C$5),"Tolerance","Refusal")))</f>
      </c>
      <c r="J156" s="10">
        <f>IFERROR(VLOOKUP(B156,'Plot Plan'!$A:$D,4,FALSE),"")</f>
      </c>
      <c r="K156" s="10">
        <f>IFERROR(VLOOKUP(B156,'Plot Plan'!$A:$B,2,FALSE),"")</f>
      </c>
      <c r="L156" s="10">
        <f>IFERROR(VLOOKUP(B156,'Plot Plan'!$A:$C,3,FALSE),"")</f>
      </c>
    </row>
    <row r="157" spans="1:12" x14ac:dyDescent="0.25">
      <c r="A157" s="13"/>
      <c r="B157" s="11"/>
      <c r="C157" s="11"/>
      <c r="D157" s="11"/>
      <c r="E157" s="11"/>
      <c r="F157" s="11">
        <f>IF(AND(D157&lt;&gt;"",E157&lt;&gt;""),((TIMEVALUE(E157)-TIMEVALUE(D157))*24*60),"")</f>
      </c>
      <c r="G157" s="11"/>
      <c r="H157" s="11"/>
      <c r="I157" s="11">
        <f>IF(G157="","Pending",IF(G157&gt;=J157,"Accepted",IF(G157&gt;=(J157-Configuration!$C$5),"Tolerance","Refusal")))</f>
      </c>
      <c r="J157" s="11">
        <f>IFERROR(VLOOKUP(B157,'Plot Plan'!$A:$D,4,FALSE),"")</f>
      </c>
      <c r="K157" s="11">
        <f>IFERROR(VLOOKUP(B157,'Plot Plan'!$A:$B,2,FALSE),"")</f>
      </c>
      <c r="L157" s="11">
        <f>IFERROR(VLOOKUP(B157,'Plot Plan'!$A:$C,3,FALSE),"")</f>
      </c>
    </row>
    <row r="158" spans="1:12" s="8" customFormat="1" x14ac:dyDescent="0.25">
      <c r="A158" s="12"/>
      <c r="B158" s="10"/>
      <c r="C158" s="10"/>
      <c r="D158" s="10"/>
      <c r="E158" s="10"/>
      <c r="F158" s="10">
        <f>IF(AND(D158&lt;&gt;"",E158&lt;&gt;""),((TIMEVALUE(E158)-TIMEVALUE(D158))*24*60),"")</f>
      </c>
      <c r="G158" s="10"/>
      <c r="H158" s="10"/>
      <c r="I158" s="10">
        <f>IF(G158="","Pending",IF(G158&gt;=J158,"Accepted",IF(G158&gt;=(J158-Configuration!$C$5),"Tolerance","Refusal")))</f>
      </c>
      <c r="J158" s="10">
        <f>IFERROR(VLOOKUP(B158,'Plot Plan'!$A:$D,4,FALSE),"")</f>
      </c>
      <c r="K158" s="10">
        <f>IFERROR(VLOOKUP(B158,'Plot Plan'!$A:$B,2,FALSE),"")</f>
      </c>
      <c r="L158" s="10">
        <f>IFERROR(VLOOKUP(B158,'Plot Plan'!$A:$C,3,FALSE),"")</f>
      </c>
    </row>
    <row r="159" spans="1:12" x14ac:dyDescent="0.25">
      <c r="A159" s="13"/>
      <c r="B159" s="11"/>
      <c r="C159" s="11"/>
      <c r="D159" s="11"/>
      <c r="E159" s="11"/>
      <c r="F159" s="11">
        <f>IF(AND(D159&lt;&gt;"",E159&lt;&gt;""),((TIMEVALUE(E159)-TIMEVALUE(D159))*24*60),"")</f>
      </c>
      <c r="G159" s="11"/>
      <c r="H159" s="11"/>
      <c r="I159" s="11">
        <f>IF(G159="","Pending",IF(G159&gt;=J159,"Accepted",IF(G159&gt;=(J159-Configuration!$C$5),"Tolerance","Refusal")))</f>
      </c>
      <c r="J159" s="11">
        <f>IFERROR(VLOOKUP(B159,'Plot Plan'!$A:$D,4,FALSE),"")</f>
      </c>
      <c r="K159" s="11">
        <f>IFERROR(VLOOKUP(B159,'Plot Plan'!$A:$B,2,FALSE),"")</f>
      </c>
      <c r="L159" s="11">
        <f>IFERROR(VLOOKUP(B159,'Plot Plan'!$A:$C,3,FALSE),"")</f>
      </c>
    </row>
    <row r="160" spans="1:12" s="8" customFormat="1" x14ac:dyDescent="0.25">
      <c r="A160" s="12"/>
      <c r="B160" s="10"/>
      <c r="C160" s="10"/>
      <c r="D160" s="10"/>
      <c r="E160" s="10"/>
      <c r="F160" s="10">
        <f>IF(AND(D160&lt;&gt;"",E160&lt;&gt;""),((TIMEVALUE(E160)-TIMEVALUE(D160))*24*60),"")</f>
      </c>
      <c r="G160" s="10"/>
      <c r="H160" s="10"/>
      <c r="I160" s="10">
        <f>IF(G160="","Pending",IF(G160&gt;=J160,"Accepted",IF(G160&gt;=(J160-Configuration!$C$5),"Tolerance","Refusal")))</f>
      </c>
      <c r="J160" s="10">
        <f>IFERROR(VLOOKUP(B160,'Plot Plan'!$A:$D,4,FALSE),"")</f>
      </c>
      <c r="K160" s="10">
        <f>IFERROR(VLOOKUP(B160,'Plot Plan'!$A:$B,2,FALSE),"")</f>
      </c>
      <c r="L160" s="10">
        <f>IFERROR(VLOOKUP(B160,'Plot Plan'!$A:$C,3,FALSE),"")</f>
      </c>
    </row>
    <row r="161" spans="1:12" x14ac:dyDescent="0.25">
      <c r="A161" s="13"/>
      <c r="B161" s="11"/>
      <c r="C161" s="11"/>
      <c r="D161" s="11"/>
      <c r="E161" s="11"/>
      <c r="F161" s="11">
        <f>IF(AND(D161&lt;&gt;"",E161&lt;&gt;""),((TIMEVALUE(E161)-TIMEVALUE(D161))*24*60),"")</f>
      </c>
      <c r="G161" s="11"/>
      <c r="H161" s="11"/>
      <c r="I161" s="11">
        <f>IF(G161="","Pending",IF(G161&gt;=J161,"Accepted",IF(G161&gt;=(J161-Configuration!$C$5),"Tolerance","Refusal")))</f>
      </c>
      <c r="J161" s="11">
        <f>IFERROR(VLOOKUP(B161,'Plot Plan'!$A:$D,4,FALSE),"")</f>
      </c>
      <c r="K161" s="11">
        <f>IFERROR(VLOOKUP(B161,'Plot Plan'!$A:$B,2,FALSE),"")</f>
      </c>
      <c r="L161" s="11">
        <f>IFERROR(VLOOKUP(B161,'Plot Plan'!$A:$C,3,FALSE),"")</f>
      </c>
    </row>
    <row r="162" spans="1:12" s="8" customFormat="1" x14ac:dyDescent="0.25">
      <c r="A162" s="12"/>
      <c r="B162" s="10"/>
      <c r="C162" s="10"/>
      <c r="D162" s="10"/>
      <c r="E162" s="10"/>
      <c r="F162" s="10">
        <f>IF(AND(D162&lt;&gt;"",E162&lt;&gt;""),((TIMEVALUE(E162)-TIMEVALUE(D162))*24*60),"")</f>
      </c>
      <c r="G162" s="10"/>
      <c r="H162" s="10"/>
      <c r="I162" s="10">
        <f>IF(G162="","Pending",IF(G162&gt;=J162,"Accepted",IF(G162&gt;=(J162-Configuration!$C$5),"Tolerance","Refusal")))</f>
      </c>
      <c r="J162" s="10">
        <f>IFERROR(VLOOKUP(B162,'Plot Plan'!$A:$D,4,FALSE),"")</f>
      </c>
      <c r="K162" s="10">
        <f>IFERROR(VLOOKUP(B162,'Plot Plan'!$A:$B,2,FALSE),"")</f>
      </c>
      <c r="L162" s="10">
        <f>IFERROR(VLOOKUP(B162,'Plot Plan'!$A:$C,3,FALSE),"")</f>
      </c>
    </row>
    <row r="163" spans="1:12" x14ac:dyDescent="0.25">
      <c r="A163" s="13"/>
      <c r="B163" s="11"/>
      <c r="C163" s="11"/>
      <c r="D163" s="11"/>
      <c r="E163" s="11"/>
      <c r="F163" s="11">
        <f>IF(AND(D163&lt;&gt;"",E163&lt;&gt;""),((TIMEVALUE(E163)-TIMEVALUE(D163))*24*60),"")</f>
      </c>
      <c r="G163" s="11"/>
      <c r="H163" s="11"/>
      <c r="I163" s="11">
        <f>IF(G163="","Pending",IF(G163&gt;=J163,"Accepted",IF(G163&gt;=(J163-Configuration!$C$5),"Tolerance","Refusal")))</f>
      </c>
      <c r="J163" s="11">
        <f>IFERROR(VLOOKUP(B163,'Plot Plan'!$A:$D,4,FALSE),"")</f>
      </c>
      <c r="K163" s="11">
        <f>IFERROR(VLOOKUP(B163,'Plot Plan'!$A:$B,2,FALSE),"")</f>
      </c>
      <c r="L163" s="11">
        <f>IFERROR(VLOOKUP(B163,'Plot Plan'!$A:$C,3,FALSE),"")</f>
      </c>
    </row>
    <row r="164" spans="1:12" s="8" customFormat="1" x14ac:dyDescent="0.25">
      <c r="A164" s="12"/>
      <c r="B164" s="10"/>
      <c r="C164" s="10"/>
      <c r="D164" s="10"/>
      <c r="E164" s="10"/>
      <c r="F164" s="10">
        <f>IF(AND(D164&lt;&gt;"",E164&lt;&gt;""),((TIMEVALUE(E164)-TIMEVALUE(D164))*24*60),"")</f>
      </c>
      <c r="G164" s="10"/>
      <c r="H164" s="10"/>
      <c r="I164" s="10">
        <f>IF(G164="","Pending",IF(G164&gt;=J164,"Accepted",IF(G164&gt;=(J164-Configuration!$C$5),"Tolerance","Refusal")))</f>
      </c>
      <c r="J164" s="10">
        <f>IFERROR(VLOOKUP(B164,'Plot Plan'!$A:$D,4,FALSE),"")</f>
      </c>
      <c r="K164" s="10">
        <f>IFERROR(VLOOKUP(B164,'Plot Plan'!$A:$B,2,FALSE),"")</f>
      </c>
      <c r="L164" s="10">
        <f>IFERROR(VLOOKUP(B164,'Plot Plan'!$A:$C,3,FALSE),"")</f>
      </c>
    </row>
    <row r="165" spans="1:12" x14ac:dyDescent="0.25">
      <c r="A165" s="13"/>
      <c r="B165" s="11"/>
      <c r="C165" s="11"/>
      <c r="D165" s="11"/>
      <c r="E165" s="11"/>
      <c r="F165" s="11">
        <f>IF(AND(D165&lt;&gt;"",E165&lt;&gt;""),((TIMEVALUE(E165)-TIMEVALUE(D165))*24*60),"")</f>
      </c>
      <c r="G165" s="11"/>
      <c r="H165" s="11"/>
      <c r="I165" s="11">
        <f>IF(G165="","Pending",IF(G165&gt;=J165,"Accepted",IF(G165&gt;=(J165-Configuration!$C$5),"Tolerance","Refusal")))</f>
      </c>
      <c r="J165" s="11">
        <f>IFERROR(VLOOKUP(B165,'Plot Plan'!$A:$D,4,FALSE),"")</f>
      </c>
      <c r="K165" s="11">
        <f>IFERROR(VLOOKUP(B165,'Plot Plan'!$A:$B,2,FALSE),"")</f>
      </c>
      <c r="L165" s="11">
        <f>IFERROR(VLOOKUP(B165,'Plot Plan'!$A:$C,3,FALSE),"")</f>
      </c>
    </row>
    <row r="166" spans="1:12" s="8" customFormat="1" x14ac:dyDescent="0.25">
      <c r="A166" s="12"/>
      <c r="B166" s="10"/>
      <c r="C166" s="10"/>
      <c r="D166" s="10"/>
      <c r="E166" s="10"/>
      <c r="F166" s="10">
        <f>IF(AND(D166&lt;&gt;"",E166&lt;&gt;""),((TIMEVALUE(E166)-TIMEVALUE(D166))*24*60),"")</f>
      </c>
      <c r="G166" s="10"/>
      <c r="H166" s="10"/>
      <c r="I166" s="10">
        <f>IF(G166="","Pending",IF(G166&gt;=J166,"Accepted",IF(G166&gt;=(J166-Configuration!$C$5),"Tolerance","Refusal")))</f>
      </c>
      <c r="J166" s="10">
        <f>IFERROR(VLOOKUP(B166,'Plot Plan'!$A:$D,4,FALSE),"")</f>
      </c>
      <c r="K166" s="10">
        <f>IFERROR(VLOOKUP(B166,'Plot Plan'!$A:$B,2,FALSE),"")</f>
      </c>
      <c r="L166" s="10">
        <f>IFERROR(VLOOKUP(B166,'Plot Plan'!$A:$C,3,FALSE),"")</f>
      </c>
    </row>
    <row r="167" spans="1:12" x14ac:dyDescent="0.25">
      <c r="A167" s="13"/>
      <c r="B167" s="11"/>
      <c r="C167" s="11"/>
      <c r="D167" s="11"/>
      <c r="E167" s="11"/>
      <c r="F167" s="11">
        <f>IF(AND(D167&lt;&gt;"",E167&lt;&gt;""),((TIMEVALUE(E167)-TIMEVALUE(D167))*24*60),"")</f>
      </c>
      <c r="G167" s="11"/>
      <c r="H167" s="11"/>
      <c r="I167" s="11">
        <f>IF(G167="","Pending",IF(G167&gt;=J167,"Accepted",IF(G167&gt;=(J167-Configuration!$C$5),"Tolerance","Refusal")))</f>
      </c>
      <c r="J167" s="11">
        <f>IFERROR(VLOOKUP(B167,'Plot Plan'!$A:$D,4,FALSE),"")</f>
      </c>
      <c r="K167" s="11">
        <f>IFERROR(VLOOKUP(B167,'Plot Plan'!$A:$B,2,FALSE),"")</f>
      </c>
      <c r="L167" s="11">
        <f>IFERROR(VLOOKUP(B167,'Plot Plan'!$A:$C,3,FALSE),"")</f>
      </c>
    </row>
    <row r="168" spans="1:12" s="8" customFormat="1" x14ac:dyDescent="0.25">
      <c r="A168" s="12"/>
      <c r="B168" s="10"/>
      <c r="C168" s="10"/>
      <c r="D168" s="10"/>
      <c r="E168" s="10"/>
      <c r="F168" s="10">
        <f>IF(AND(D168&lt;&gt;"",E168&lt;&gt;""),((TIMEVALUE(E168)-TIMEVALUE(D168))*24*60),"")</f>
      </c>
      <c r="G168" s="10"/>
      <c r="H168" s="10"/>
      <c r="I168" s="10">
        <f>IF(G168="","Pending",IF(G168&gt;=J168,"Accepted",IF(G168&gt;=(J168-Configuration!$C$5),"Tolerance","Refusal")))</f>
      </c>
      <c r="J168" s="10">
        <f>IFERROR(VLOOKUP(B168,'Plot Plan'!$A:$D,4,FALSE),"")</f>
      </c>
      <c r="K168" s="10">
        <f>IFERROR(VLOOKUP(B168,'Plot Plan'!$A:$B,2,FALSE),"")</f>
      </c>
      <c r="L168" s="10">
        <f>IFERROR(VLOOKUP(B168,'Plot Plan'!$A:$C,3,FALSE),"")</f>
      </c>
    </row>
    <row r="169" spans="1:12" x14ac:dyDescent="0.25">
      <c r="A169" s="13"/>
      <c r="B169" s="11"/>
      <c r="C169" s="11"/>
      <c r="D169" s="11"/>
      <c r="E169" s="11"/>
      <c r="F169" s="11">
        <f>IF(AND(D169&lt;&gt;"",E169&lt;&gt;""),((TIMEVALUE(E169)-TIMEVALUE(D169))*24*60),"")</f>
      </c>
      <c r="G169" s="11"/>
      <c r="H169" s="11"/>
      <c r="I169" s="11">
        <f>IF(G169="","Pending",IF(G169&gt;=J169,"Accepted",IF(G169&gt;=(J169-Configuration!$C$5),"Tolerance","Refusal")))</f>
      </c>
      <c r="J169" s="11">
        <f>IFERROR(VLOOKUP(B169,'Plot Plan'!$A:$D,4,FALSE),"")</f>
      </c>
      <c r="K169" s="11">
        <f>IFERROR(VLOOKUP(B169,'Plot Plan'!$A:$B,2,FALSE),"")</f>
      </c>
      <c r="L169" s="11">
        <f>IFERROR(VLOOKUP(B169,'Plot Plan'!$A:$C,3,FALSE),"")</f>
      </c>
    </row>
    <row r="170" spans="1:12" s="8" customFormat="1" x14ac:dyDescent="0.25">
      <c r="A170" s="12"/>
      <c r="B170" s="10"/>
      <c r="C170" s="10"/>
      <c r="D170" s="10"/>
      <c r="E170" s="10"/>
      <c r="F170" s="10">
        <f>IF(AND(D170&lt;&gt;"",E170&lt;&gt;""),((TIMEVALUE(E170)-TIMEVALUE(D170))*24*60),"")</f>
      </c>
      <c r="G170" s="10"/>
      <c r="H170" s="10"/>
      <c r="I170" s="10">
        <f>IF(G170="","Pending",IF(G170&gt;=J170,"Accepted",IF(G170&gt;=(J170-Configuration!$C$5),"Tolerance","Refusal")))</f>
      </c>
      <c r="J170" s="10">
        <f>IFERROR(VLOOKUP(B170,'Plot Plan'!$A:$D,4,FALSE),"")</f>
      </c>
      <c r="K170" s="10">
        <f>IFERROR(VLOOKUP(B170,'Plot Plan'!$A:$B,2,FALSE),"")</f>
      </c>
      <c r="L170" s="10">
        <f>IFERROR(VLOOKUP(B170,'Plot Plan'!$A:$C,3,FALSE),"")</f>
      </c>
    </row>
    <row r="171" spans="1:12" x14ac:dyDescent="0.25">
      <c r="A171" s="13"/>
      <c r="B171" s="11"/>
      <c r="C171" s="11"/>
      <c r="D171" s="11"/>
      <c r="E171" s="11"/>
      <c r="F171" s="11">
        <f>IF(AND(D171&lt;&gt;"",E171&lt;&gt;""),((TIMEVALUE(E171)-TIMEVALUE(D171))*24*60),"")</f>
      </c>
      <c r="G171" s="11"/>
      <c r="H171" s="11"/>
      <c r="I171" s="11">
        <f>IF(G171="","Pending",IF(G171&gt;=J171,"Accepted",IF(G171&gt;=(J171-Configuration!$C$5),"Tolerance","Refusal")))</f>
      </c>
      <c r="J171" s="11">
        <f>IFERROR(VLOOKUP(B171,'Plot Plan'!$A:$D,4,FALSE),"")</f>
      </c>
      <c r="K171" s="11">
        <f>IFERROR(VLOOKUP(B171,'Plot Plan'!$A:$B,2,FALSE),"")</f>
      </c>
      <c r="L171" s="11">
        <f>IFERROR(VLOOKUP(B171,'Plot Plan'!$A:$C,3,FALSE),"")</f>
      </c>
    </row>
    <row r="172" spans="1:12" s="8" customFormat="1" x14ac:dyDescent="0.25">
      <c r="A172" s="12"/>
      <c r="B172" s="10"/>
      <c r="C172" s="10"/>
      <c r="D172" s="10"/>
      <c r="E172" s="10"/>
      <c r="F172" s="10">
        <f>IF(AND(D172&lt;&gt;"",E172&lt;&gt;""),((TIMEVALUE(E172)-TIMEVALUE(D172))*24*60),"")</f>
      </c>
      <c r="G172" s="10"/>
      <c r="H172" s="10"/>
      <c r="I172" s="10">
        <f>IF(G172="","Pending",IF(G172&gt;=J172,"Accepted",IF(G172&gt;=(J172-Configuration!$C$5),"Tolerance","Refusal")))</f>
      </c>
      <c r="J172" s="10">
        <f>IFERROR(VLOOKUP(B172,'Plot Plan'!$A:$D,4,FALSE),"")</f>
      </c>
      <c r="K172" s="10">
        <f>IFERROR(VLOOKUP(B172,'Plot Plan'!$A:$B,2,FALSE),"")</f>
      </c>
      <c r="L172" s="10">
        <f>IFERROR(VLOOKUP(B172,'Plot Plan'!$A:$C,3,FALSE),"")</f>
      </c>
    </row>
    <row r="173" spans="1:12" x14ac:dyDescent="0.25">
      <c r="A173" s="13"/>
      <c r="B173" s="11"/>
      <c r="C173" s="11"/>
      <c r="D173" s="11"/>
      <c r="E173" s="11"/>
      <c r="F173" s="11">
        <f>IF(AND(D173&lt;&gt;"",E173&lt;&gt;""),((TIMEVALUE(E173)-TIMEVALUE(D173))*24*60),"")</f>
      </c>
      <c r="G173" s="11"/>
      <c r="H173" s="11"/>
      <c r="I173" s="11">
        <f>IF(G173="","Pending",IF(G173&gt;=J173,"Accepted",IF(G173&gt;=(J173-Configuration!$C$5),"Tolerance","Refusal")))</f>
      </c>
      <c r="J173" s="11">
        <f>IFERROR(VLOOKUP(B173,'Plot Plan'!$A:$D,4,FALSE),"")</f>
      </c>
      <c r="K173" s="11">
        <f>IFERROR(VLOOKUP(B173,'Plot Plan'!$A:$B,2,FALSE),"")</f>
      </c>
      <c r="L173" s="11">
        <f>IFERROR(VLOOKUP(B173,'Plot Plan'!$A:$C,3,FALSE),"")</f>
      </c>
    </row>
    <row r="174" spans="1:12" s="8" customFormat="1" x14ac:dyDescent="0.25">
      <c r="A174" s="12"/>
      <c r="B174" s="10"/>
      <c r="C174" s="10"/>
      <c r="D174" s="10"/>
      <c r="E174" s="10"/>
      <c r="F174" s="10">
        <f>IF(AND(D174&lt;&gt;"",E174&lt;&gt;""),((TIMEVALUE(E174)-TIMEVALUE(D174))*24*60),"")</f>
      </c>
      <c r="G174" s="10"/>
      <c r="H174" s="10"/>
      <c r="I174" s="10">
        <f>IF(G174="","Pending",IF(G174&gt;=J174,"Accepted",IF(G174&gt;=(J174-Configuration!$C$5),"Tolerance","Refusal")))</f>
      </c>
      <c r="J174" s="10">
        <f>IFERROR(VLOOKUP(B174,'Plot Plan'!$A:$D,4,FALSE),"")</f>
      </c>
      <c r="K174" s="10">
        <f>IFERROR(VLOOKUP(B174,'Plot Plan'!$A:$B,2,FALSE),"")</f>
      </c>
      <c r="L174" s="10">
        <f>IFERROR(VLOOKUP(B174,'Plot Plan'!$A:$C,3,FALSE),"")</f>
      </c>
    </row>
    <row r="175" spans="1:12" x14ac:dyDescent="0.25">
      <c r="A175" s="13"/>
      <c r="B175" s="11"/>
      <c r="C175" s="11"/>
      <c r="D175" s="11"/>
      <c r="E175" s="11"/>
      <c r="F175" s="11">
        <f>IF(AND(D175&lt;&gt;"",E175&lt;&gt;""),((TIMEVALUE(E175)-TIMEVALUE(D175))*24*60),"")</f>
      </c>
      <c r="G175" s="11"/>
      <c r="H175" s="11"/>
      <c r="I175" s="11">
        <f>IF(G175="","Pending",IF(G175&gt;=J175,"Accepted",IF(G175&gt;=(J175-Configuration!$C$5),"Tolerance","Refusal")))</f>
      </c>
      <c r="J175" s="11">
        <f>IFERROR(VLOOKUP(B175,'Plot Plan'!$A:$D,4,FALSE),"")</f>
      </c>
      <c r="K175" s="11">
        <f>IFERROR(VLOOKUP(B175,'Plot Plan'!$A:$B,2,FALSE),"")</f>
      </c>
      <c r="L175" s="11">
        <f>IFERROR(VLOOKUP(B175,'Plot Plan'!$A:$C,3,FALSE),"")</f>
      </c>
    </row>
    <row r="176" spans="1:12" s="8" customFormat="1" x14ac:dyDescent="0.25">
      <c r="A176" s="12"/>
      <c r="B176" s="10"/>
      <c r="C176" s="10"/>
      <c r="D176" s="10"/>
      <c r="E176" s="10"/>
      <c r="F176" s="10">
        <f>IF(AND(D176&lt;&gt;"",E176&lt;&gt;""),((TIMEVALUE(E176)-TIMEVALUE(D176))*24*60),"")</f>
      </c>
      <c r="G176" s="10"/>
      <c r="H176" s="10"/>
      <c r="I176" s="10">
        <f>IF(G176="","Pending",IF(G176&gt;=J176,"Accepted",IF(G176&gt;=(J176-Configuration!$C$5),"Tolerance","Refusal")))</f>
      </c>
      <c r="J176" s="10">
        <f>IFERROR(VLOOKUP(B176,'Plot Plan'!$A:$D,4,FALSE),"")</f>
      </c>
      <c r="K176" s="10">
        <f>IFERROR(VLOOKUP(B176,'Plot Plan'!$A:$B,2,FALSE),"")</f>
      </c>
      <c r="L176" s="10">
        <f>IFERROR(VLOOKUP(B176,'Plot Plan'!$A:$C,3,FALSE),"")</f>
      </c>
    </row>
    <row r="177" spans="1:12" x14ac:dyDescent="0.25">
      <c r="A177" s="13"/>
      <c r="B177" s="11"/>
      <c r="C177" s="11"/>
      <c r="D177" s="11"/>
      <c r="E177" s="11"/>
      <c r="F177" s="11">
        <f>IF(AND(D177&lt;&gt;"",E177&lt;&gt;""),((TIMEVALUE(E177)-TIMEVALUE(D177))*24*60),"")</f>
      </c>
      <c r="G177" s="11"/>
      <c r="H177" s="11"/>
      <c r="I177" s="11">
        <f>IF(G177="","Pending",IF(G177&gt;=J177,"Accepted",IF(G177&gt;=(J177-Configuration!$C$5),"Tolerance","Refusal")))</f>
      </c>
      <c r="J177" s="11">
        <f>IFERROR(VLOOKUP(B177,'Plot Plan'!$A:$D,4,FALSE),"")</f>
      </c>
      <c r="K177" s="11">
        <f>IFERROR(VLOOKUP(B177,'Plot Plan'!$A:$B,2,FALSE),"")</f>
      </c>
      <c r="L177" s="11">
        <f>IFERROR(VLOOKUP(B177,'Plot Plan'!$A:$C,3,FALSE),"")</f>
      </c>
    </row>
    <row r="178" spans="1:12" s="8" customFormat="1" x14ac:dyDescent="0.25">
      <c r="A178" s="12"/>
      <c r="B178" s="10"/>
      <c r="C178" s="10"/>
      <c r="D178" s="10"/>
      <c r="E178" s="10"/>
      <c r="F178" s="10">
        <f>IF(AND(D178&lt;&gt;"",E178&lt;&gt;""),((TIMEVALUE(E178)-TIMEVALUE(D178))*24*60),"")</f>
      </c>
      <c r="G178" s="10"/>
      <c r="H178" s="10"/>
      <c r="I178" s="10">
        <f>IF(G178="","Pending",IF(G178&gt;=J178,"Accepted",IF(G178&gt;=(J178-Configuration!$C$5),"Tolerance","Refusal")))</f>
      </c>
      <c r="J178" s="10">
        <f>IFERROR(VLOOKUP(B178,'Plot Plan'!$A:$D,4,FALSE),"")</f>
      </c>
      <c r="K178" s="10">
        <f>IFERROR(VLOOKUP(B178,'Plot Plan'!$A:$B,2,FALSE),"")</f>
      </c>
      <c r="L178" s="10">
        <f>IFERROR(VLOOKUP(B178,'Plot Plan'!$A:$C,3,FALSE),"")</f>
      </c>
    </row>
    <row r="179" spans="1:12" x14ac:dyDescent="0.25">
      <c r="A179" s="13"/>
      <c r="B179" s="11"/>
      <c r="C179" s="11"/>
      <c r="D179" s="11"/>
      <c r="E179" s="11"/>
      <c r="F179" s="11">
        <f>IF(AND(D179&lt;&gt;"",E179&lt;&gt;""),((TIMEVALUE(E179)-TIMEVALUE(D179))*24*60),"")</f>
      </c>
      <c r="G179" s="11"/>
      <c r="H179" s="11"/>
      <c r="I179" s="11">
        <f>IF(G179="","Pending",IF(G179&gt;=J179,"Accepted",IF(G179&gt;=(J179-Configuration!$C$5),"Tolerance","Refusal")))</f>
      </c>
      <c r="J179" s="11">
        <f>IFERROR(VLOOKUP(B179,'Plot Plan'!$A:$D,4,FALSE),"")</f>
      </c>
      <c r="K179" s="11">
        <f>IFERROR(VLOOKUP(B179,'Plot Plan'!$A:$B,2,FALSE),"")</f>
      </c>
      <c r="L179" s="11">
        <f>IFERROR(VLOOKUP(B179,'Plot Plan'!$A:$C,3,FALSE),"")</f>
      </c>
    </row>
    <row r="180" spans="1:12" s="8" customFormat="1" x14ac:dyDescent="0.25">
      <c r="A180" s="12"/>
      <c r="B180" s="10"/>
      <c r="C180" s="10"/>
      <c r="D180" s="10"/>
      <c r="E180" s="10"/>
      <c r="F180" s="10">
        <f>IF(AND(D180&lt;&gt;"",E180&lt;&gt;""),((TIMEVALUE(E180)-TIMEVALUE(D180))*24*60),"")</f>
      </c>
      <c r="G180" s="10"/>
      <c r="H180" s="10"/>
      <c r="I180" s="10">
        <f>IF(G180="","Pending",IF(G180&gt;=J180,"Accepted",IF(G180&gt;=(J180-Configuration!$C$5),"Tolerance","Refusal")))</f>
      </c>
      <c r="J180" s="10">
        <f>IFERROR(VLOOKUP(B180,'Plot Plan'!$A:$D,4,FALSE),"")</f>
      </c>
      <c r="K180" s="10">
        <f>IFERROR(VLOOKUP(B180,'Plot Plan'!$A:$B,2,FALSE),"")</f>
      </c>
      <c r="L180" s="10">
        <f>IFERROR(VLOOKUP(B180,'Plot Plan'!$A:$C,3,FALSE),"")</f>
      </c>
    </row>
    <row r="181" spans="1:12" x14ac:dyDescent="0.25">
      <c r="A181" s="13"/>
      <c r="B181" s="11"/>
      <c r="C181" s="11"/>
      <c r="D181" s="11"/>
      <c r="E181" s="11"/>
      <c r="F181" s="11">
        <f>IF(AND(D181&lt;&gt;"",E181&lt;&gt;""),((TIMEVALUE(E181)-TIMEVALUE(D181))*24*60),"")</f>
      </c>
      <c r="G181" s="11"/>
      <c r="H181" s="11"/>
      <c r="I181" s="11">
        <f>IF(G181="","Pending",IF(G181&gt;=J181,"Accepted",IF(G181&gt;=(J181-Configuration!$C$5),"Tolerance","Refusal")))</f>
      </c>
      <c r="J181" s="11">
        <f>IFERROR(VLOOKUP(B181,'Plot Plan'!$A:$D,4,FALSE),"")</f>
      </c>
      <c r="K181" s="11">
        <f>IFERROR(VLOOKUP(B181,'Plot Plan'!$A:$B,2,FALSE),"")</f>
      </c>
      <c r="L181" s="11">
        <f>IFERROR(VLOOKUP(B181,'Plot Plan'!$A:$C,3,FALSE),"")</f>
      </c>
    </row>
    <row r="182" spans="1:12" s="8" customFormat="1" x14ac:dyDescent="0.25">
      <c r="A182" s="12"/>
      <c r="B182" s="10"/>
      <c r="C182" s="10"/>
      <c r="D182" s="10"/>
      <c r="E182" s="10"/>
      <c r="F182" s="10">
        <f>IF(AND(D182&lt;&gt;"",E182&lt;&gt;""),((TIMEVALUE(E182)-TIMEVALUE(D182))*24*60),"")</f>
      </c>
      <c r="G182" s="10"/>
      <c r="H182" s="10"/>
      <c r="I182" s="10">
        <f>IF(G182="","Pending",IF(G182&gt;=J182,"Accepted",IF(G182&gt;=(J182-Configuration!$C$5),"Tolerance","Refusal")))</f>
      </c>
      <c r="J182" s="10">
        <f>IFERROR(VLOOKUP(B182,'Plot Plan'!$A:$D,4,FALSE),"")</f>
      </c>
      <c r="K182" s="10">
        <f>IFERROR(VLOOKUP(B182,'Plot Plan'!$A:$B,2,FALSE),"")</f>
      </c>
      <c r="L182" s="10">
        <f>IFERROR(VLOOKUP(B182,'Plot Plan'!$A:$C,3,FALSE),"")</f>
      </c>
    </row>
    <row r="183" spans="1:12" x14ac:dyDescent="0.25">
      <c r="A183" s="13"/>
      <c r="B183" s="11"/>
      <c r="C183" s="11"/>
      <c r="D183" s="11"/>
      <c r="E183" s="11"/>
      <c r="F183" s="11">
        <f>IF(AND(D183&lt;&gt;"",E183&lt;&gt;""),((TIMEVALUE(E183)-TIMEVALUE(D183))*24*60),"")</f>
      </c>
      <c r="G183" s="11"/>
      <c r="H183" s="11"/>
      <c r="I183" s="11">
        <f>IF(G183="","Pending",IF(G183&gt;=J183,"Accepted",IF(G183&gt;=(J183-Configuration!$C$5),"Tolerance","Refusal")))</f>
      </c>
      <c r="J183" s="11">
        <f>IFERROR(VLOOKUP(B183,'Plot Plan'!$A:$D,4,FALSE),"")</f>
      </c>
      <c r="K183" s="11">
        <f>IFERROR(VLOOKUP(B183,'Plot Plan'!$A:$B,2,FALSE),"")</f>
      </c>
      <c r="L183" s="11">
        <f>IFERROR(VLOOKUP(B183,'Plot Plan'!$A:$C,3,FALSE),"")</f>
      </c>
    </row>
    <row r="184" spans="1:12" s="8" customFormat="1" x14ac:dyDescent="0.25">
      <c r="A184" s="12"/>
      <c r="B184" s="10"/>
      <c r="C184" s="10"/>
      <c r="D184" s="10"/>
      <c r="E184" s="10"/>
      <c r="F184" s="10">
        <f>IF(AND(D184&lt;&gt;"",E184&lt;&gt;""),((TIMEVALUE(E184)-TIMEVALUE(D184))*24*60),"")</f>
      </c>
      <c r="G184" s="10"/>
      <c r="H184" s="10"/>
      <c r="I184" s="10">
        <f>IF(G184="","Pending",IF(G184&gt;=J184,"Accepted",IF(G184&gt;=(J184-Configuration!$C$5),"Tolerance","Refusal")))</f>
      </c>
      <c r="J184" s="10">
        <f>IFERROR(VLOOKUP(B184,'Plot Plan'!$A:$D,4,FALSE),"")</f>
      </c>
      <c r="K184" s="10">
        <f>IFERROR(VLOOKUP(B184,'Plot Plan'!$A:$B,2,FALSE),"")</f>
      </c>
      <c r="L184" s="10">
        <f>IFERROR(VLOOKUP(B184,'Plot Plan'!$A:$C,3,FALSE),"")</f>
      </c>
    </row>
    <row r="185" spans="1:12" x14ac:dyDescent="0.25">
      <c r="A185" s="13"/>
      <c r="B185" s="11"/>
      <c r="C185" s="11"/>
      <c r="D185" s="11"/>
      <c r="E185" s="11"/>
      <c r="F185" s="11">
        <f>IF(AND(D185&lt;&gt;"",E185&lt;&gt;""),((TIMEVALUE(E185)-TIMEVALUE(D185))*24*60),"")</f>
      </c>
      <c r="G185" s="11"/>
      <c r="H185" s="11"/>
      <c r="I185" s="11">
        <f>IF(G185="","Pending",IF(G185&gt;=J185,"Accepted",IF(G185&gt;=(J185-Configuration!$C$5),"Tolerance","Refusal")))</f>
      </c>
      <c r="J185" s="11">
        <f>IFERROR(VLOOKUP(B185,'Plot Plan'!$A:$D,4,FALSE),"")</f>
      </c>
      <c r="K185" s="11">
        <f>IFERROR(VLOOKUP(B185,'Plot Plan'!$A:$B,2,FALSE),"")</f>
      </c>
      <c r="L185" s="11">
        <f>IFERROR(VLOOKUP(B185,'Plot Plan'!$A:$C,3,FALSE),"")</f>
      </c>
    </row>
    <row r="186" spans="1:12" s="8" customFormat="1" x14ac:dyDescent="0.25">
      <c r="A186" s="12"/>
      <c r="B186" s="10"/>
      <c r="C186" s="10"/>
      <c r="D186" s="10"/>
      <c r="E186" s="10"/>
      <c r="F186" s="10">
        <f>IF(AND(D186&lt;&gt;"",E186&lt;&gt;""),((TIMEVALUE(E186)-TIMEVALUE(D186))*24*60),"")</f>
      </c>
      <c r="G186" s="10"/>
      <c r="H186" s="10"/>
      <c r="I186" s="10">
        <f>IF(G186="","Pending",IF(G186&gt;=J186,"Accepted",IF(G186&gt;=(J186-Configuration!$C$5),"Tolerance","Refusal")))</f>
      </c>
      <c r="J186" s="10">
        <f>IFERROR(VLOOKUP(B186,'Plot Plan'!$A:$D,4,FALSE),"")</f>
      </c>
      <c r="K186" s="10">
        <f>IFERROR(VLOOKUP(B186,'Plot Plan'!$A:$B,2,FALSE),"")</f>
      </c>
      <c r="L186" s="10">
        <f>IFERROR(VLOOKUP(B186,'Plot Plan'!$A:$C,3,FALSE),"")</f>
      </c>
    </row>
    <row r="187" spans="1:12" x14ac:dyDescent="0.25">
      <c r="A187" s="13"/>
      <c r="B187" s="11"/>
      <c r="C187" s="11"/>
      <c r="D187" s="11"/>
      <c r="E187" s="11"/>
      <c r="F187" s="11">
        <f>IF(AND(D187&lt;&gt;"",E187&lt;&gt;""),((TIMEVALUE(E187)-TIMEVALUE(D187))*24*60),"")</f>
      </c>
      <c r="G187" s="11"/>
      <c r="H187" s="11"/>
      <c r="I187" s="11">
        <f>IF(G187="","Pending",IF(G187&gt;=J187,"Accepted",IF(G187&gt;=(J187-Configuration!$C$5),"Tolerance","Refusal")))</f>
      </c>
      <c r="J187" s="11">
        <f>IFERROR(VLOOKUP(B187,'Plot Plan'!$A:$D,4,FALSE),"")</f>
      </c>
      <c r="K187" s="11">
        <f>IFERROR(VLOOKUP(B187,'Plot Plan'!$A:$B,2,FALSE),"")</f>
      </c>
      <c r="L187" s="11">
        <f>IFERROR(VLOOKUP(B187,'Plot Plan'!$A:$C,3,FALSE),"")</f>
      </c>
    </row>
    <row r="188" spans="1:12" s="8" customFormat="1" x14ac:dyDescent="0.25">
      <c r="A188" s="12"/>
      <c r="B188" s="10"/>
      <c r="C188" s="10"/>
      <c r="D188" s="10"/>
      <c r="E188" s="10"/>
      <c r="F188" s="10">
        <f>IF(AND(D188&lt;&gt;"",E188&lt;&gt;""),((TIMEVALUE(E188)-TIMEVALUE(D188))*24*60),"")</f>
      </c>
      <c r="G188" s="10"/>
      <c r="H188" s="10"/>
      <c r="I188" s="10">
        <f>IF(G188="","Pending",IF(G188&gt;=J188,"Accepted",IF(G188&gt;=(J188-Configuration!$C$5),"Tolerance","Refusal")))</f>
      </c>
      <c r="J188" s="10">
        <f>IFERROR(VLOOKUP(B188,'Plot Plan'!$A:$D,4,FALSE),"")</f>
      </c>
      <c r="K188" s="10">
        <f>IFERROR(VLOOKUP(B188,'Plot Plan'!$A:$B,2,FALSE),"")</f>
      </c>
      <c r="L188" s="10">
        <f>IFERROR(VLOOKUP(B188,'Plot Plan'!$A:$C,3,FALSE),"")</f>
      </c>
    </row>
    <row r="189" spans="1:12" x14ac:dyDescent="0.25">
      <c r="A189" s="13"/>
      <c r="B189" s="11"/>
      <c r="C189" s="11"/>
      <c r="D189" s="11"/>
      <c r="E189" s="11"/>
      <c r="F189" s="11">
        <f>IF(AND(D189&lt;&gt;"",E189&lt;&gt;""),((TIMEVALUE(E189)-TIMEVALUE(D189))*24*60),"")</f>
      </c>
      <c r="G189" s="11"/>
      <c r="H189" s="11"/>
      <c r="I189" s="11">
        <f>IF(G189="","Pending",IF(G189&gt;=J189,"Accepted",IF(G189&gt;=(J189-Configuration!$C$5),"Tolerance","Refusal")))</f>
      </c>
      <c r="J189" s="11">
        <f>IFERROR(VLOOKUP(B189,'Plot Plan'!$A:$D,4,FALSE),"")</f>
      </c>
      <c r="K189" s="11">
        <f>IFERROR(VLOOKUP(B189,'Plot Plan'!$A:$B,2,FALSE),"")</f>
      </c>
      <c r="L189" s="11">
        <f>IFERROR(VLOOKUP(B189,'Plot Plan'!$A:$C,3,FALSE),"")</f>
      </c>
    </row>
    <row r="190" spans="1:12" s="8" customFormat="1" x14ac:dyDescent="0.25">
      <c r="A190" s="12"/>
      <c r="B190" s="10"/>
      <c r="C190" s="10"/>
      <c r="D190" s="10"/>
      <c r="E190" s="10"/>
      <c r="F190" s="10">
        <f>IF(AND(D190&lt;&gt;"",E190&lt;&gt;""),((TIMEVALUE(E190)-TIMEVALUE(D190))*24*60),"")</f>
      </c>
      <c r="G190" s="10"/>
      <c r="H190" s="10"/>
      <c r="I190" s="10">
        <f>IF(G190="","Pending",IF(G190&gt;=J190,"Accepted",IF(G190&gt;=(J190-Configuration!$C$5),"Tolerance","Refusal")))</f>
      </c>
      <c r="J190" s="10">
        <f>IFERROR(VLOOKUP(B190,'Plot Plan'!$A:$D,4,FALSE),"")</f>
      </c>
      <c r="K190" s="10">
        <f>IFERROR(VLOOKUP(B190,'Plot Plan'!$A:$B,2,FALSE),"")</f>
      </c>
      <c r="L190" s="10">
        <f>IFERROR(VLOOKUP(B190,'Plot Plan'!$A:$C,3,FALSE),"")</f>
      </c>
    </row>
    <row r="191" spans="1:12" x14ac:dyDescent="0.25">
      <c r="A191" s="13"/>
      <c r="B191" s="11"/>
      <c r="C191" s="11"/>
      <c r="D191" s="11"/>
      <c r="E191" s="11"/>
      <c r="F191" s="11">
        <f>IF(AND(D191&lt;&gt;"",E191&lt;&gt;""),((TIMEVALUE(E191)-TIMEVALUE(D191))*24*60),"")</f>
      </c>
      <c r="G191" s="11"/>
      <c r="H191" s="11"/>
      <c r="I191" s="11">
        <f>IF(G191="","Pending",IF(G191&gt;=J191,"Accepted",IF(G191&gt;=(J191-Configuration!$C$5),"Tolerance","Refusal")))</f>
      </c>
      <c r="J191" s="11">
        <f>IFERROR(VLOOKUP(B191,'Plot Plan'!$A:$D,4,FALSE),"")</f>
      </c>
      <c r="K191" s="11">
        <f>IFERROR(VLOOKUP(B191,'Plot Plan'!$A:$B,2,FALSE),"")</f>
      </c>
      <c r="L191" s="11">
        <f>IFERROR(VLOOKUP(B191,'Plot Plan'!$A:$C,3,FALSE),"")</f>
      </c>
    </row>
    <row r="192" spans="1:12" s="8" customFormat="1" x14ac:dyDescent="0.25">
      <c r="A192" s="12"/>
      <c r="B192" s="10"/>
      <c r="C192" s="10"/>
      <c r="D192" s="10"/>
      <c r="E192" s="10"/>
      <c r="F192" s="10">
        <f>IF(AND(D192&lt;&gt;"",E192&lt;&gt;""),((TIMEVALUE(E192)-TIMEVALUE(D192))*24*60),"")</f>
      </c>
      <c r="G192" s="10"/>
      <c r="H192" s="10"/>
      <c r="I192" s="10">
        <f>IF(G192="","Pending",IF(G192&gt;=J192,"Accepted",IF(G192&gt;=(J192-Configuration!$C$5),"Tolerance","Refusal")))</f>
      </c>
      <c r="J192" s="10">
        <f>IFERROR(VLOOKUP(B192,'Plot Plan'!$A:$D,4,FALSE),"")</f>
      </c>
      <c r="K192" s="10">
        <f>IFERROR(VLOOKUP(B192,'Plot Plan'!$A:$B,2,FALSE),"")</f>
      </c>
      <c r="L192" s="10">
        <f>IFERROR(VLOOKUP(B192,'Plot Plan'!$A:$C,3,FALSE),"")</f>
      </c>
    </row>
    <row r="193" spans="1:12" x14ac:dyDescent="0.25">
      <c r="A193" s="13"/>
      <c r="B193" s="11"/>
      <c r="C193" s="11"/>
      <c r="D193" s="11"/>
      <c r="E193" s="11"/>
      <c r="F193" s="11">
        <f>IF(AND(D193&lt;&gt;"",E193&lt;&gt;""),((TIMEVALUE(E193)-TIMEVALUE(D193))*24*60),"")</f>
      </c>
      <c r="G193" s="11"/>
      <c r="H193" s="11"/>
      <c r="I193" s="11">
        <f>IF(G193="","Pending",IF(G193&gt;=J193,"Accepted",IF(G193&gt;=(J193-Configuration!$C$5),"Tolerance","Refusal")))</f>
      </c>
      <c r="J193" s="11">
        <f>IFERROR(VLOOKUP(B193,'Plot Plan'!$A:$D,4,FALSE),"")</f>
      </c>
      <c r="K193" s="11">
        <f>IFERROR(VLOOKUP(B193,'Plot Plan'!$A:$B,2,FALSE),"")</f>
      </c>
      <c r="L193" s="11">
        <f>IFERROR(VLOOKUP(B193,'Plot Plan'!$A:$C,3,FALSE),"")</f>
      </c>
    </row>
    <row r="194" spans="1:12" s="8" customFormat="1" x14ac:dyDescent="0.25">
      <c r="A194" s="12"/>
      <c r="B194" s="10"/>
      <c r="C194" s="10"/>
      <c r="D194" s="10"/>
      <c r="E194" s="10"/>
      <c r="F194" s="10">
        <f>IF(AND(D194&lt;&gt;"",E194&lt;&gt;""),((TIMEVALUE(E194)-TIMEVALUE(D194))*24*60),"")</f>
      </c>
      <c r="G194" s="10"/>
      <c r="H194" s="10"/>
      <c r="I194" s="10">
        <f>IF(G194="","Pending",IF(G194&gt;=J194,"Accepted",IF(G194&gt;=(J194-Configuration!$C$5),"Tolerance","Refusal")))</f>
      </c>
      <c r="J194" s="10">
        <f>IFERROR(VLOOKUP(B194,'Plot Plan'!$A:$D,4,FALSE),"")</f>
      </c>
      <c r="K194" s="10">
        <f>IFERROR(VLOOKUP(B194,'Plot Plan'!$A:$B,2,FALSE),"")</f>
      </c>
      <c r="L194" s="10">
        <f>IFERROR(VLOOKUP(B194,'Plot Plan'!$A:$C,3,FALSE),"")</f>
      </c>
    </row>
    <row r="195" spans="1:12" x14ac:dyDescent="0.25">
      <c r="A195" s="13"/>
      <c r="B195" s="11"/>
      <c r="C195" s="11"/>
      <c r="D195" s="11"/>
      <c r="E195" s="11"/>
      <c r="F195" s="11">
        <f>IF(AND(D195&lt;&gt;"",E195&lt;&gt;""),((TIMEVALUE(E195)-TIMEVALUE(D195))*24*60),"")</f>
      </c>
      <c r="G195" s="11"/>
      <c r="H195" s="11"/>
      <c r="I195" s="11">
        <f>IF(G195="","Pending",IF(G195&gt;=J195,"Accepted",IF(G195&gt;=(J195-Configuration!$C$5),"Tolerance","Refusal")))</f>
      </c>
      <c r="J195" s="11">
        <f>IFERROR(VLOOKUP(B195,'Plot Plan'!$A:$D,4,FALSE),"")</f>
      </c>
      <c r="K195" s="11">
        <f>IFERROR(VLOOKUP(B195,'Plot Plan'!$A:$B,2,FALSE),"")</f>
      </c>
      <c r="L195" s="11">
        <f>IFERROR(VLOOKUP(B195,'Plot Plan'!$A:$C,3,FALSE),"")</f>
      </c>
    </row>
    <row r="196" spans="1:12" s="8" customFormat="1" x14ac:dyDescent="0.25">
      <c r="A196" s="12"/>
      <c r="B196" s="10"/>
      <c r="C196" s="10"/>
      <c r="D196" s="10"/>
      <c r="E196" s="10"/>
      <c r="F196" s="10">
        <f>IF(AND(D196&lt;&gt;"",E196&lt;&gt;""),((TIMEVALUE(E196)-TIMEVALUE(D196))*24*60),"")</f>
      </c>
      <c r="G196" s="10"/>
      <c r="H196" s="10"/>
      <c r="I196" s="10">
        <f>IF(G196="","Pending",IF(G196&gt;=J196,"Accepted",IF(G196&gt;=(J196-Configuration!$C$5),"Tolerance","Refusal")))</f>
      </c>
      <c r="J196" s="10">
        <f>IFERROR(VLOOKUP(B196,'Plot Plan'!$A:$D,4,FALSE),"")</f>
      </c>
      <c r="K196" s="10">
        <f>IFERROR(VLOOKUP(B196,'Plot Plan'!$A:$B,2,FALSE),"")</f>
      </c>
      <c r="L196" s="10">
        <f>IFERROR(VLOOKUP(B196,'Plot Plan'!$A:$C,3,FALSE),"")</f>
      </c>
    </row>
    <row r="197" spans="1:12" x14ac:dyDescent="0.25">
      <c r="A197" s="13"/>
      <c r="B197" s="11"/>
      <c r="C197" s="11"/>
      <c r="D197" s="11"/>
      <c r="E197" s="11"/>
      <c r="F197" s="11">
        <f>IF(AND(D197&lt;&gt;"",E197&lt;&gt;""),((TIMEVALUE(E197)-TIMEVALUE(D197))*24*60),"")</f>
      </c>
      <c r="G197" s="11"/>
      <c r="H197" s="11"/>
      <c r="I197" s="11">
        <f>IF(G197="","Pending",IF(G197&gt;=J197,"Accepted",IF(G197&gt;=(J197-Configuration!$C$5),"Tolerance","Refusal")))</f>
      </c>
      <c r="J197" s="11">
        <f>IFERROR(VLOOKUP(B197,'Plot Plan'!$A:$D,4,FALSE),"")</f>
      </c>
      <c r="K197" s="11">
        <f>IFERROR(VLOOKUP(B197,'Plot Plan'!$A:$B,2,FALSE),"")</f>
      </c>
      <c r="L197" s="11">
        <f>IFERROR(VLOOKUP(B197,'Plot Plan'!$A:$C,3,FALSE),"")</f>
      </c>
    </row>
    <row r="198" spans="1:12" s="8" customFormat="1" x14ac:dyDescent="0.25">
      <c r="A198" s="12"/>
      <c r="B198" s="10"/>
      <c r="C198" s="10"/>
      <c r="D198" s="10"/>
      <c r="E198" s="10"/>
      <c r="F198" s="10">
        <f>IF(AND(D198&lt;&gt;"",E198&lt;&gt;""),((TIMEVALUE(E198)-TIMEVALUE(D198))*24*60),"")</f>
      </c>
      <c r="G198" s="10"/>
      <c r="H198" s="10"/>
      <c r="I198" s="10">
        <f>IF(G198="","Pending",IF(G198&gt;=J198,"Accepted",IF(G198&gt;=(J198-Configuration!$C$5),"Tolerance","Refusal")))</f>
      </c>
      <c r="J198" s="10">
        <f>IFERROR(VLOOKUP(B198,'Plot Plan'!$A:$D,4,FALSE),"")</f>
      </c>
      <c r="K198" s="10">
        <f>IFERROR(VLOOKUP(B198,'Plot Plan'!$A:$B,2,FALSE),"")</f>
      </c>
      <c r="L198" s="10">
        <f>IFERROR(VLOOKUP(B198,'Plot Plan'!$A:$C,3,FALSE),"")</f>
      </c>
    </row>
    <row r="199" spans="1:12" x14ac:dyDescent="0.25">
      <c r="A199" s="13"/>
      <c r="B199" s="11"/>
      <c r="C199" s="11"/>
      <c r="D199" s="11"/>
      <c r="E199" s="11"/>
      <c r="F199" s="11">
        <f>IF(AND(D199&lt;&gt;"",E199&lt;&gt;""),((TIMEVALUE(E199)-TIMEVALUE(D199))*24*60),"")</f>
      </c>
      <c r="G199" s="11"/>
      <c r="H199" s="11"/>
      <c r="I199" s="11">
        <f>IF(G199="","Pending",IF(G199&gt;=J199,"Accepted",IF(G199&gt;=(J199-Configuration!$C$5),"Tolerance","Refusal")))</f>
      </c>
      <c r="J199" s="11">
        <f>IFERROR(VLOOKUP(B199,'Plot Plan'!$A:$D,4,FALSE),"")</f>
      </c>
      <c r="K199" s="11">
        <f>IFERROR(VLOOKUP(B199,'Plot Plan'!$A:$B,2,FALSE),"")</f>
      </c>
      <c r="L199" s="11">
        <f>IFERROR(VLOOKUP(B199,'Plot Plan'!$A:$C,3,FALSE),"")</f>
      </c>
    </row>
    <row r="200" spans="1:12" s="8" customFormat="1" x14ac:dyDescent="0.25">
      <c r="A200" s="12"/>
      <c r="B200" s="10"/>
      <c r="C200" s="10"/>
      <c r="D200" s="10"/>
      <c r="E200" s="10"/>
      <c r="F200" s="10">
        <f>IF(AND(D200&lt;&gt;"",E200&lt;&gt;""),((TIMEVALUE(E200)-TIMEVALUE(D200))*24*60),"")</f>
      </c>
      <c r="G200" s="10"/>
      <c r="H200" s="10"/>
      <c r="I200" s="10">
        <f>IF(G200="","Pending",IF(G200&gt;=J200,"Accepted",IF(G200&gt;=(J200-Configuration!$C$5),"Tolerance","Refusal")))</f>
      </c>
      <c r="J200" s="10">
        <f>IFERROR(VLOOKUP(B200,'Plot Plan'!$A:$D,4,FALSE),"")</f>
      </c>
      <c r="K200" s="10">
        <f>IFERROR(VLOOKUP(B200,'Plot Plan'!$A:$B,2,FALSE),"")</f>
      </c>
      <c r="L200" s="10">
        <f>IFERROR(VLOOKUP(B200,'Plot Plan'!$A:$C,3,FALSE),"")</f>
      </c>
    </row>
    <row r="201" spans="1:12" x14ac:dyDescent="0.25">
      <c r="A201" s="13"/>
      <c r="B201" s="11"/>
      <c r="C201" s="11"/>
      <c r="D201" s="11"/>
      <c r="E201" s="11"/>
      <c r="F201" s="11">
        <f>IF(AND(D201&lt;&gt;"",E201&lt;&gt;""),((TIMEVALUE(E201)-TIMEVALUE(D201))*24*60),"")</f>
      </c>
      <c r="G201" s="11"/>
      <c r="H201" s="11"/>
      <c r="I201" s="11">
        <f>IF(G201="","Pending",IF(G201&gt;=J201,"Accepted",IF(G201&gt;=(J201-Configuration!$C$5),"Tolerance","Refusal")))</f>
      </c>
      <c r="J201" s="11">
        <f>IFERROR(VLOOKUP(B201,'Plot Plan'!$A:$D,4,FALSE),"")</f>
      </c>
      <c r="K201" s="11">
        <f>IFERROR(VLOOKUP(B201,'Plot Plan'!$A:$B,2,FALSE),"")</f>
      </c>
      <c r="L201" s="11">
        <f>IFERROR(VLOOKUP(B201,'Plot Plan'!$A:$C,3,FALSE),"")</f>
      </c>
    </row>
    <row r="202" spans="1:12" s="8" customFormat="1" x14ac:dyDescent="0.25">
      <c r="A202" s="12"/>
      <c r="B202" s="10"/>
      <c r="C202" s="10"/>
      <c r="D202" s="10"/>
      <c r="E202" s="10"/>
      <c r="F202" s="10">
        <f>IF(AND(D202&lt;&gt;"",E202&lt;&gt;""),((TIMEVALUE(E202)-TIMEVALUE(D202))*24*60),"")</f>
      </c>
      <c r="G202" s="10"/>
      <c r="H202" s="10"/>
      <c r="I202" s="10">
        <f>IF(G202="","Pending",IF(G202&gt;=J202,"Accepted",IF(G202&gt;=(J202-Configuration!$C$5),"Tolerance","Refusal")))</f>
      </c>
      <c r="J202" s="10">
        <f>IFERROR(VLOOKUP(B202,'Plot Plan'!$A:$D,4,FALSE),"")</f>
      </c>
      <c r="K202" s="10">
        <f>IFERROR(VLOOKUP(B202,'Plot Plan'!$A:$B,2,FALSE),"")</f>
      </c>
      <c r="L202" s="10">
        <f>IFERROR(VLOOKUP(B202,'Plot Plan'!$A:$C,3,FALSE),"")</f>
      </c>
    </row>
    <row r="203" spans="1:12" x14ac:dyDescent="0.25">
      <c r="A203" s="13"/>
      <c r="B203" s="11"/>
      <c r="C203" s="11"/>
      <c r="D203" s="11"/>
      <c r="E203" s="11"/>
      <c r="F203" s="11">
        <f>IF(AND(D203&lt;&gt;"",E203&lt;&gt;""),((TIMEVALUE(E203)-TIMEVALUE(D203))*24*60),"")</f>
      </c>
      <c r="G203" s="11"/>
      <c r="H203" s="11"/>
      <c r="I203" s="11">
        <f>IF(G203="","Pending",IF(G203&gt;=J203,"Accepted",IF(G203&gt;=(J203-Configuration!$C$5),"Tolerance","Refusal")))</f>
      </c>
      <c r="J203" s="11">
        <f>IFERROR(VLOOKUP(B203,'Plot Plan'!$A:$D,4,FALSE),"")</f>
      </c>
      <c r="K203" s="11">
        <f>IFERROR(VLOOKUP(B203,'Plot Plan'!$A:$B,2,FALSE),"")</f>
      </c>
      <c r="L203" s="11">
        <f>IFERROR(VLOOKUP(B203,'Plot Plan'!$A:$C,3,FALSE),"")</f>
      </c>
    </row>
    <row r="204" spans="1:12" s="8" customFormat="1" x14ac:dyDescent="0.25">
      <c r="A204" s="12"/>
      <c r="B204" s="10"/>
      <c r="C204" s="10"/>
      <c r="D204" s="10"/>
      <c r="E204" s="10"/>
      <c r="F204" s="10">
        <f>IF(AND(D204&lt;&gt;"",E204&lt;&gt;""),((TIMEVALUE(E204)-TIMEVALUE(D204))*24*60),"")</f>
      </c>
      <c r="G204" s="10"/>
      <c r="H204" s="10"/>
      <c r="I204" s="10">
        <f>IF(G204="","Pending",IF(G204&gt;=J204,"Accepted",IF(G204&gt;=(J204-Configuration!$C$5),"Tolerance","Refusal")))</f>
      </c>
      <c r="J204" s="10">
        <f>IFERROR(VLOOKUP(B204,'Plot Plan'!$A:$D,4,FALSE),"")</f>
      </c>
      <c r="K204" s="10">
        <f>IFERROR(VLOOKUP(B204,'Plot Plan'!$A:$B,2,FALSE),"")</f>
      </c>
      <c r="L204" s="10">
        <f>IFERROR(VLOOKUP(B204,'Plot Plan'!$A:$C,3,FALSE),"")</f>
      </c>
    </row>
    <row r="205" spans="1:12" x14ac:dyDescent="0.25">
      <c r="A205" s="13"/>
      <c r="B205" s="11"/>
      <c r="C205" s="11"/>
      <c r="D205" s="11"/>
      <c r="E205" s="11"/>
      <c r="F205" s="11">
        <f>IF(AND(D205&lt;&gt;"",E205&lt;&gt;""),((TIMEVALUE(E205)-TIMEVALUE(D205))*24*60),"")</f>
      </c>
      <c r="G205" s="11"/>
      <c r="H205" s="11"/>
      <c r="I205" s="11">
        <f>IF(G205="","Pending",IF(G205&gt;=J205,"Accepted",IF(G205&gt;=(J205-Configuration!$C$5),"Tolerance","Refusal")))</f>
      </c>
      <c r="J205" s="11">
        <f>IFERROR(VLOOKUP(B205,'Plot Plan'!$A:$D,4,FALSE),"")</f>
      </c>
      <c r="K205" s="11">
        <f>IFERROR(VLOOKUP(B205,'Plot Plan'!$A:$B,2,FALSE),"")</f>
      </c>
      <c r="L205" s="11">
        <f>IFERROR(VLOOKUP(B205,'Plot Plan'!$A:$C,3,FALSE),"")</f>
      </c>
    </row>
    <row r="206" spans="1:12" s="8" customFormat="1" x14ac:dyDescent="0.25">
      <c r="A206" s="12"/>
      <c r="B206" s="10"/>
      <c r="C206" s="10"/>
      <c r="D206" s="10"/>
      <c r="E206" s="10"/>
      <c r="F206" s="10">
        <f>IF(AND(D206&lt;&gt;"",E206&lt;&gt;""),((TIMEVALUE(E206)-TIMEVALUE(D206))*24*60),"")</f>
      </c>
      <c r="G206" s="10"/>
      <c r="H206" s="10"/>
      <c r="I206" s="10">
        <f>IF(G206="","Pending",IF(G206&gt;=J206,"Accepted",IF(G206&gt;=(J206-Configuration!$C$5),"Tolerance","Refusal")))</f>
      </c>
      <c r="J206" s="10">
        <f>IFERROR(VLOOKUP(B206,'Plot Plan'!$A:$D,4,FALSE),"")</f>
      </c>
      <c r="K206" s="10">
        <f>IFERROR(VLOOKUP(B206,'Plot Plan'!$A:$B,2,FALSE),"")</f>
      </c>
      <c r="L206" s="10">
        <f>IFERROR(VLOOKUP(B206,'Plot Plan'!$A:$C,3,FALSE),"")</f>
      </c>
    </row>
    <row r="207" spans="1:12" x14ac:dyDescent="0.25">
      <c r="A207" s="13"/>
      <c r="B207" s="11"/>
      <c r="C207" s="11"/>
      <c r="D207" s="11"/>
      <c r="E207" s="11"/>
      <c r="F207" s="11">
        <f>IF(AND(D207&lt;&gt;"",E207&lt;&gt;""),((TIMEVALUE(E207)-TIMEVALUE(D207))*24*60),"")</f>
      </c>
      <c r="G207" s="11"/>
      <c r="H207" s="11"/>
      <c r="I207" s="11">
        <f>IF(G207="","Pending",IF(G207&gt;=J207,"Accepted",IF(G207&gt;=(J207-Configuration!$C$5),"Tolerance","Refusal")))</f>
      </c>
      <c r="J207" s="11">
        <f>IFERROR(VLOOKUP(B207,'Plot Plan'!$A:$D,4,FALSE),"")</f>
      </c>
      <c r="K207" s="11">
        <f>IFERROR(VLOOKUP(B207,'Plot Plan'!$A:$B,2,FALSE),"")</f>
      </c>
      <c r="L207" s="11">
        <f>IFERROR(VLOOKUP(B207,'Plot Plan'!$A:$C,3,FALSE),"")</f>
      </c>
    </row>
    <row r="208" spans="1:12" s="8" customFormat="1" x14ac:dyDescent="0.25">
      <c r="A208" s="12"/>
      <c r="B208" s="10"/>
      <c r="C208" s="10"/>
      <c r="D208" s="10"/>
      <c r="E208" s="10"/>
      <c r="F208" s="10">
        <f>IF(AND(D208&lt;&gt;"",E208&lt;&gt;""),((TIMEVALUE(E208)-TIMEVALUE(D208))*24*60),"")</f>
      </c>
      <c r="G208" s="10"/>
      <c r="H208" s="10"/>
      <c r="I208" s="10">
        <f>IF(G208="","Pending",IF(G208&gt;=J208,"Accepted",IF(G208&gt;=(J208-Configuration!$C$5),"Tolerance","Refusal")))</f>
      </c>
      <c r="J208" s="10">
        <f>IFERROR(VLOOKUP(B208,'Plot Plan'!$A:$D,4,FALSE),"")</f>
      </c>
      <c r="K208" s="10">
        <f>IFERROR(VLOOKUP(B208,'Plot Plan'!$A:$B,2,FALSE),"")</f>
      </c>
      <c r="L208" s="10">
        <f>IFERROR(VLOOKUP(B208,'Plot Plan'!$A:$C,3,FALSE),"")</f>
      </c>
    </row>
    <row r="209" spans="1:12" x14ac:dyDescent="0.25">
      <c r="A209" s="13"/>
      <c r="B209" s="11"/>
      <c r="C209" s="11"/>
      <c r="D209" s="11"/>
      <c r="E209" s="11"/>
      <c r="F209" s="11">
        <f>IF(AND(D209&lt;&gt;"",E209&lt;&gt;""),((TIMEVALUE(E209)-TIMEVALUE(D209))*24*60),"")</f>
      </c>
      <c r="G209" s="11"/>
      <c r="H209" s="11"/>
      <c r="I209" s="11">
        <f>IF(G209="","Pending",IF(G209&gt;=J209,"Accepted",IF(G209&gt;=(J209-Configuration!$C$5),"Tolerance","Refusal")))</f>
      </c>
      <c r="J209" s="11">
        <f>IFERROR(VLOOKUP(B209,'Plot Plan'!$A:$D,4,FALSE),"")</f>
      </c>
      <c r="K209" s="11">
        <f>IFERROR(VLOOKUP(B209,'Plot Plan'!$A:$B,2,FALSE),"")</f>
      </c>
      <c r="L209" s="11">
        <f>IFERROR(VLOOKUP(B209,'Plot Plan'!$A:$C,3,FALSE),"")</f>
      </c>
    </row>
    <row r="210" spans="1:12" s="8" customFormat="1" x14ac:dyDescent="0.25">
      <c r="A210" s="12"/>
      <c r="B210" s="10"/>
      <c r="C210" s="10"/>
      <c r="D210" s="10"/>
      <c r="E210" s="10"/>
      <c r="F210" s="10">
        <f>IF(AND(D210&lt;&gt;"",E210&lt;&gt;""),((TIMEVALUE(E210)-TIMEVALUE(D210))*24*60),"")</f>
      </c>
      <c r="G210" s="10"/>
      <c r="H210" s="10"/>
      <c r="I210" s="10">
        <f>IF(G210="","Pending",IF(G210&gt;=J210,"Accepted",IF(G210&gt;=(J210-Configuration!$C$5),"Tolerance","Refusal")))</f>
      </c>
      <c r="J210" s="10">
        <f>IFERROR(VLOOKUP(B210,'Plot Plan'!$A:$D,4,FALSE),"")</f>
      </c>
      <c r="K210" s="10">
        <f>IFERROR(VLOOKUP(B210,'Plot Plan'!$A:$B,2,FALSE),"")</f>
      </c>
      <c r="L210" s="10">
        <f>IFERROR(VLOOKUP(B210,'Plot Plan'!$A:$C,3,FALSE),"")</f>
      </c>
    </row>
    <row r="211" spans="1:12" x14ac:dyDescent="0.25">
      <c r="A211" s="13"/>
      <c r="B211" s="11"/>
      <c r="C211" s="11"/>
      <c r="D211" s="11"/>
      <c r="E211" s="11"/>
      <c r="F211" s="11">
        <f>IF(AND(D211&lt;&gt;"",E211&lt;&gt;""),((TIMEVALUE(E211)-TIMEVALUE(D211))*24*60),"")</f>
      </c>
      <c r="G211" s="11"/>
      <c r="H211" s="11"/>
      <c r="I211" s="11">
        <f>IF(G211="","Pending",IF(G211&gt;=J211,"Accepted",IF(G211&gt;=(J211-Configuration!$C$5),"Tolerance","Refusal")))</f>
      </c>
      <c r="J211" s="11">
        <f>IFERROR(VLOOKUP(B211,'Plot Plan'!$A:$D,4,FALSE),"")</f>
      </c>
      <c r="K211" s="11">
        <f>IFERROR(VLOOKUP(B211,'Plot Plan'!$A:$B,2,FALSE),"")</f>
      </c>
      <c r="L211" s="11">
        <f>IFERROR(VLOOKUP(B211,'Plot Plan'!$A:$C,3,FALSE),"")</f>
      </c>
    </row>
    <row r="212" spans="1:12" s="8" customFormat="1" x14ac:dyDescent="0.25">
      <c r="A212" s="12"/>
      <c r="B212" s="10"/>
      <c r="C212" s="10"/>
      <c r="D212" s="10"/>
      <c r="E212" s="10"/>
      <c r="F212" s="10">
        <f>IF(AND(D212&lt;&gt;"",E212&lt;&gt;""),((TIMEVALUE(E212)-TIMEVALUE(D212))*24*60),"")</f>
      </c>
      <c r="G212" s="10"/>
      <c r="H212" s="10"/>
      <c r="I212" s="10">
        <f>IF(G212="","Pending",IF(G212&gt;=J212,"Accepted",IF(G212&gt;=(J212-Configuration!$C$5),"Tolerance","Refusal")))</f>
      </c>
      <c r="J212" s="10">
        <f>IFERROR(VLOOKUP(B212,'Plot Plan'!$A:$D,4,FALSE),"")</f>
      </c>
      <c r="K212" s="10">
        <f>IFERROR(VLOOKUP(B212,'Plot Plan'!$A:$B,2,FALSE),"")</f>
      </c>
      <c r="L212" s="10">
        <f>IFERROR(VLOOKUP(B212,'Plot Plan'!$A:$C,3,FALSE),"")</f>
      </c>
    </row>
    <row r="213" spans="1:12" x14ac:dyDescent="0.25">
      <c r="A213" s="13"/>
      <c r="B213" s="11"/>
      <c r="C213" s="11"/>
      <c r="D213" s="11"/>
      <c r="E213" s="11"/>
      <c r="F213" s="11">
        <f>IF(AND(D213&lt;&gt;"",E213&lt;&gt;""),((TIMEVALUE(E213)-TIMEVALUE(D213))*24*60),"")</f>
      </c>
      <c r="G213" s="11"/>
      <c r="H213" s="11"/>
      <c r="I213" s="11">
        <f>IF(G213="","Pending",IF(G213&gt;=J213,"Accepted",IF(G213&gt;=(J213-Configuration!$C$5),"Tolerance","Refusal")))</f>
      </c>
      <c r="J213" s="11">
        <f>IFERROR(VLOOKUP(B213,'Plot Plan'!$A:$D,4,FALSE),"")</f>
      </c>
      <c r="K213" s="11">
        <f>IFERROR(VLOOKUP(B213,'Plot Plan'!$A:$B,2,FALSE),"")</f>
      </c>
      <c r="L213" s="11">
        <f>IFERROR(VLOOKUP(B213,'Plot Plan'!$A:$C,3,FALSE),"")</f>
      </c>
    </row>
    <row r="214" spans="1:12" s="8" customFormat="1" x14ac:dyDescent="0.25">
      <c r="A214" s="12"/>
      <c r="B214" s="10"/>
      <c r="C214" s="10"/>
      <c r="D214" s="10"/>
      <c r="E214" s="10"/>
      <c r="F214" s="10">
        <f>IF(AND(D214&lt;&gt;"",E214&lt;&gt;""),((TIMEVALUE(E214)-TIMEVALUE(D214))*24*60),"")</f>
      </c>
      <c r="G214" s="10"/>
      <c r="H214" s="10"/>
      <c r="I214" s="10">
        <f>IF(G214="","Pending",IF(G214&gt;=J214,"Accepted",IF(G214&gt;=(J214-Configuration!$C$5),"Tolerance","Refusal")))</f>
      </c>
      <c r="J214" s="10">
        <f>IFERROR(VLOOKUP(B214,'Plot Plan'!$A:$D,4,FALSE),"")</f>
      </c>
      <c r="K214" s="10">
        <f>IFERROR(VLOOKUP(B214,'Plot Plan'!$A:$B,2,FALSE),"")</f>
      </c>
      <c r="L214" s="10">
        <f>IFERROR(VLOOKUP(B214,'Plot Plan'!$A:$C,3,FALSE),"")</f>
      </c>
    </row>
    <row r="215" spans="1:12" x14ac:dyDescent="0.25">
      <c r="A215" s="13"/>
      <c r="B215" s="11"/>
      <c r="C215" s="11"/>
      <c r="D215" s="11"/>
      <c r="E215" s="11"/>
      <c r="F215" s="11">
        <f>IF(AND(D215&lt;&gt;"",E215&lt;&gt;""),((TIMEVALUE(E215)-TIMEVALUE(D215))*24*60),"")</f>
      </c>
      <c r="G215" s="11"/>
      <c r="H215" s="11"/>
      <c r="I215" s="11">
        <f>IF(G215="","Pending",IF(G215&gt;=J215,"Accepted",IF(G215&gt;=(J215-Configuration!$C$5),"Tolerance","Refusal")))</f>
      </c>
      <c r="J215" s="11">
        <f>IFERROR(VLOOKUP(B215,'Plot Plan'!$A:$D,4,FALSE),"")</f>
      </c>
      <c r="K215" s="11">
        <f>IFERROR(VLOOKUP(B215,'Plot Plan'!$A:$B,2,FALSE),"")</f>
      </c>
      <c r="L215" s="11">
        <f>IFERROR(VLOOKUP(B215,'Plot Plan'!$A:$C,3,FALSE),"")</f>
      </c>
    </row>
    <row r="216" spans="1:12" s="8" customFormat="1" x14ac:dyDescent="0.25">
      <c r="A216" s="12"/>
      <c r="B216" s="10"/>
      <c r="C216" s="10"/>
      <c r="D216" s="10"/>
      <c r="E216" s="10"/>
      <c r="F216" s="10">
        <f>IF(AND(D216&lt;&gt;"",E216&lt;&gt;""),((TIMEVALUE(E216)-TIMEVALUE(D216))*24*60),"")</f>
      </c>
      <c r="G216" s="10"/>
      <c r="H216" s="10"/>
      <c r="I216" s="10">
        <f>IF(G216="","Pending",IF(G216&gt;=J216,"Accepted",IF(G216&gt;=(J216-Configuration!$C$5),"Tolerance","Refusal")))</f>
      </c>
      <c r="J216" s="10">
        <f>IFERROR(VLOOKUP(B216,'Plot Plan'!$A:$D,4,FALSE),"")</f>
      </c>
      <c r="K216" s="10">
        <f>IFERROR(VLOOKUP(B216,'Plot Plan'!$A:$B,2,FALSE),"")</f>
      </c>
      <c r="L216" s="10">
        <f>IFERROR(VLOOKUP(B216,'Plot Plan'!$A:$C,3,FALSE),"")</f>
      </c>
    </row>
    <row r="217" spans="1:12" x14ac:dyDescent="0.25">
      <c r="A217" s="13"/>
      <c r="B217" s="11"/>
      <c r="C217" s="11"/>
      <c r="D217" s="11"/>
      <c r="E217" s="11"/>
      <c r="F217" s="11">
        <f>IF(AND(D217&lt;&gt;"",E217&lt;&gt;""),((TIMEVALUE(E217)-TIMEVALUE(D217))*24*60),"")</f>
      </c>
      <c r="G217" s="11"/>
      <c r="H217" s="11"/>
      <c r="I217" s="11">
        <f>IF(G217="","Pending",IF(G217&gt;=J217,"Accepted",IF(G217&gt;=(J217-Configuration!$C$5),"Tolerance","Refusal")))</f>
      </c>
      <c r="J217" s="11">
        <f>IFERROR(VLOOKUP(B217,'Plot Plan'!$A:$D,4,FALSE),"")</f>
      </c>
      <c r="K217" s="11">
        <f>IFERROR(VLOOKUP(B217,'Plot Plan'!$A:$B,2,FALSE),"")</f>
      </c>
      <c r="L217" s="11">
        <f>IFERROR(VLOOKUP(B217,'Plot Plan'!$A:$C,3,FALSE),"")</f>
      </c>
    </row>
    <row r="218" spans="1:12" s="8" customFormat="1" x14ac:dyDescent="0.25">
      <c r="A218" s="12"/>
      <c r="B218" s="10"/>
      <c r="C218" s="10"/>
      <c r="D218" s="10"/>
      <c r="E218" s="10"/>
      <c r="F218" s="10">
        <f>IF(AND(D218&lt;&gt;"",E218&lt;&gt;""),((TIMEVALUE(E218)-TIMEVALUE(D218))*24*60),"")</f>
      </c>
      <c r="G218" s="10"/>
      <c r="H218" s="10"/>
      <c r="I218" s="10">
        <f>IF(G218="","Pending",IF(G218&gt;=J218,"Accepted",IF(G218&gt;=(J218-Configuration!$C$5),"Tolerance","Refusal")))</f>
      </c>
      <c r="J218" s="10">
        <f>IFERROR(VLOOKUP(B218,'Plot Plan'!$A:$D,4,FALSE),"")</f>
      </c>
      <c r="K218" s="10">
        <f>IFERROR(VLOOKUP(B218,'Plot Plan'!$A:$B,2,FALSE),"")</f>
      </c>
      <c r="L218" s="10">
        <f>IFERROR(VLOOKUP(B218,'Plot Plan'!$A:$C,3,FALSE),"")</f>
      </c>
    </row>
    <row r="219" spans="1:12" x14ac:dyDescent="0.25">
      <c r="A219" s="13"/>
      <c r="B219" s="11"/>
      <c r="C219" s="11"/>
      <c r="D219" s="11"/>
      <c r="E219" s="11"/>
      <c r="F219" s="11">
        <f>IF(AND(D219&lt;&gt;"",E219&lt;&gt;""),((TIMEVALUE(E219)-TIMEVALUE(D219))*24*60),"")</f>
      </c>
      <c r="G219" s="11"/>
      <c r="H219" s="11"/>
      <c r="I219" s="11">
        <f>IF(G219="","Pending",IF(G219&gt;=J219,"Accepted",IF(G219&gt;=(J219-Configuration!$C$5),"Tolerance","Refusal")))</f>
      </c>
      <c r="J219" s="11">
        <f>IFERROR(VLOOKUP(B219,'Plot Plan'!$A:$D,4,FALSE),"")</f>
      </c>
      <c r="K219" s="11">
        <f>IFERROR(VLOOKUP(B219,'Plot Plan'!$A:$B,2,FALSE),"")</f>
      </c>
      <c r="L219" s="11">
        <f>IFERROR(VLOOKUP(B219,'Plot Plan'!$A:$C,3,FALSE),"")</f>
      </c>
    </row>
    <row r="220" spans="1:12" s="8" customFormat="1" x14ac:dyDescent="0.25">
      <c r="A220" s="12"/>
      <c r="B220" s="10"/>
      <c r="C220" s="10"/>
      <c r="D220" s="10"/>
      <c r="E220" s="10"/>
      <c r="F220" s="10">
        <f>IF(AND(D220&lt;&gt;"",E220&lt;&gt;""),((TIMEVALUE(E220)-TIMEVALUE(D220))*24*60),"")</f>
      </c>
      <c r="G220" s="10"/>
      <c r="H220" s="10"/>
      <c r="I220" s="10">
        <f>IF(G220="","Pending",IF(G220&gt;=J220,"Accepted",IF(G220&gt;=(J220-Configuration!$C$5),"Tolerance","Refusal")))</f>
      </c>
      <c r="J220" s="10">
        <f>IFERROR(VLOOKUP(B220,'Plot Plan'!$A:$D,4,FALSE),"")</f>
      </c>
      <c r="K220" s="10">
        <f>IFERROR(VLOOKUP(B220,'Plot Plan'!$A:$B,2,FALSE),"")</f>
      </c>
      <c r="L220" s="10">
        <f>IFERROR(VLOOKUP(B220,'Plot Plan'!$A:$C,3,FALSE),"")</f>
      </c>
    </row>
    <row r="221" spans="1:12" x14ac:dyDescent="0.25">
      <c r="A221" s="13"/>
      <c r="B221" s="11"/>
      <c r="C221" s="11"/>
      <c r="D221" s="11"/>
      <c r="E221" s="11"/>
      <c r="F221" s="11">
        <f>IF(AND(D221&lt;&gt;"",E221&lt;&gt;""),((TIMEVALUE(E221)-TIMEVALUE(D221))*24*60),"")</f>
      </c>
      <c r="G221" s="11"/>
      <c r="H221" s="11"/>
      <c r="I221" s="11">
        <f>IF(G221="","Pending",IF(G221&gt;=J221,"Accepted",IF(G221&gt;=(J221-Configuration!$C$5),"Tolerance","Refusal")))</f>
      </c>
      <c r="J221" s="11">
        <f>IFERROR(VLOOKUP(B221,'Plot Plan'!$A:$D,4,FALSE),"")</f>
      </c>
      <c r="K221" s="11">
        <f>IFERROR(VLOOKUP(B221,'Plot Plan'!$A:$B,2,FALSE),"")</f>
      </c>
      <c r="L221" s="11">
        <f>IFERROR(VLOOKUP(B221,'Plot Plan'!$A:$C,3,FALSE),"")</f>
      </c>
    </row>
    <row r="222" spans="1:12" s="8" customFormat="1" x14ac:dyDescent="0.25">
      <c r="A222" s="12"/>
      <c r="B222" s="10"/>
      <c r="C222" s="10"/>
      <c r="D222" s="10"/>
      <c r="E222" s="10"/>
      <c r="F222" s="10">
        <f>IF(AND(D222&lt;&gt;"",E222&lt;&gt;""),((TIMEVALUE(E222)-TIMEVALUE(D222))*24*60),"")</f>
      </c>
      <c r="G222" s="10"/>
      <c r="H222" s="10"/>
      <c r="I222" s="10">
        <f>IF(G222="","Pending",IF(G222&gt;=J222,"Accepted",IF(G222&gt;=(J222-Configuration!$C$5),"Tolerance","Refusal")))</f>
      </c>
      <c r="J222" s="10">
        <f>IFERROR(VLOOKUP(B222,'Plot Plan'!$A:$D,4,FALSE),"")</f>
      </c>
      <c r="K222" s="10">
        <f>IFERROR(VLOOKUP(B222,'Plot Plan'!$A:$B,2,FALSE),"")</f>
      </c>
      <c r="L222" s="10">
        <f>IFERROR(VLOOKUP(B222,'Plot Plan'!$A:$C,3,FALSE),"")</f>
      </c>
    </row>
    <row r="223" spans="1:12" x14ac:dyDescent="0.25">
      <c r="A223" s="13"/>
      <c r="B223" s="11"/>
      <c r="C223" s="11"/>
      <c r="D223" s="11"/>
      <c r="E223" s="11"/>
      <c r="F223" s="11">
        <f>IF(AND(D223&lt;&gt;"",E223&lt;&gt;""),((TIMEVALUE(E223)-TIMEVALUE(D223))*24*60),"")</f>
      </c>
      <c r="G223" s="11"/>
      <c r="H223" s="11"/>
      <c r="I223" s="11">
        <f>IF(G223="","Pending",IF(G223&gt;=J223,"Accepted",IF(G223&gt;=(J223-Configuration!$C$5),"Tolerance","Refusal")))</f>
      </c>
      <c r="J223" s="11">
        <f>IFERROR(VLOOKUP(B223,'Plot Plan'!$A:$D,4,FALSE),"")</f>
      </c>
      <c r="K223" s="11">
        <f>IFERROR(VLOOKUP(B223,'Plot Plan'!$A:$B,2,FALSE),"")</f>
      </c>
      <c r="L223" s="11">
        <f>IFERROR(VLOOKUP(B223,'Plot Plan'!$A:$C,3,FALSE),"")</f>
      </c>
    </row>
    <row r="224" spans="1:12" s="8" customFormat="1" x14ac:dyDescent="0.25">
      <c r="A224" s="12"/>
      <c r="B224" s="10"/>
      <c r="C224" s="10"/>
      <c r="D224" s="10"/>
      <c r="E224" s="10"/>
      <c r="F224" s="10">
        <f>IF(AND(D224&lt;&gt;"",E224&lt;&gt;""),((TIMEVALUE(E224)-TIMEVALUE(D224))*24*60),"")</f>
      </c>
      <c r="G224" s="10"/>
      <c r="H224" s="10"/>
      <c r="I224" s="10">
        <f>IF(G224="","Pending",IF(G224&gt;=J224,"Accepted",IF(G224&gt;=(J224-Configuration!$C$5),"Tolerance","Refusal")))</f>
      </c>
      <c r="J224" s="10">
        <f>IFERROR(VLOOKUP(B224,'Plot Plan'!$A:$D,4,FALSE),"")</f>
      </c>
      <c r="K224" s="10">
        <f>IFERROR(VLOOKUP(B224,'Plot Plan'!$A:$B,2,FALSE),"")</f>
      </c>
      <c r="L224" s="10">
        <f>IFERROR(VLOOKUP(B224,'Plot Plan'!$A:$C,3,FALSE),"")</f>
      </c>
    </row>
    <row r="225" spans="1:12" x14ac:dyDescent="0.25">
      <c r="A225" s="13"/>
      <c r="B225" s="11"/>
      <c r="C225" s="11"/>
      <c r="D225" s="11"/>
      <c r="E225" s="11"/>
      <c r="F225" s="11">
        <f>IF(AND(D225&lt;&gt;"",E225&lt;&gt;""),((TIMEVALUE(E225)-TIMEVALUE(D225))*24*60),"")</f>
      </c>
      <c r="G225" s="11"/>
      <c r="H225" s="11"/>
      <c r="I225" s="11">
        <f>IF(G225="","Pending",IF(G225&gt;=J225,"Accepted",IF(G225&gt;=(J225-Configuration!$C$5),"Tolerance","Refusal")))</f>
      </c>
      <c r="J225" s="11">
        <f>IFERROR(VLOOKUP(B225,'Plot Plan'!$A:$D,4,FALSE),"")</f>
      </c>
      <c r="K225" s="11">
        <f>IFERROR(VLOOKUP(B225,'Plot Plan'!$A:$B,2,FALSE),"")</f>
      </c>
      <c r="L225" s="11">
        <f>IFERROR(VLOOKUP(B225,'Plot Plan'!$A:$C,3,FALSE),"")</f>
      </c>
    </row>
    <row r="226" spans="1:12" s="8" customFormat="1" x14ac:dyDescent="0.25">
      <c r="A226" s="12"/>
      <c r="B226" s="10"/>
      <c r="C226" s="10"/>
      <c r="D226" s="10"/>
      <c r="E226" s="10"/>
      <c r="F226" s="10">
        <f>IF(AND(D226&lt;&gt;"",E226&lt;&gt;""),((TIMEVALUE(E226)-TIMEVALUE(D226))*24*60),"")</f>
      </c>
      <c r="G226" s="10"/>
      <c r="H226" s="10"/>
      <c r="I226" s="10">
        <f>IF(G226="","Pending",IF(G226&gt;=J226,"Accepted",IF(G226&gt;=(J226-Configuration!$C$5),"Tolerance","Refusal")))</f>
      </c>
      <c r="J226" s="10">
        <f>IFERROR(VLOOKUP(B226,'Plot Plan'!$A:$D,4,FALSE),"")</f>
      </c>
      <c r="K226" s="10">
        <f>IFERROR(VLOOKUP(B226,'Plot Plan'!$A:$B,2,FALSE),"")</f>
      </c>
      <c r="L226" s="10">
        <f>IFERROR(VLOOKUP(B226,'Plot Plan'!$A:$C,3,FALSE),"")</f>
      </c>
    </row>
    <row r="227" spans="1:12" x14ac:dyDescent="0.25">
      <c r="A227" s="13"/>
      <c r="B227" s="11"/>
      <c r="C227" s="11"/>
      <c r="D227" s="11"/>
      <c r="E227" s="11"/>
      <c r="F227" s="11">
        <f>IF(AND(D227&lt;&gt;"",E227&lt;&gt;""),((TIMEVALUE(E227)-TIMEVALUE(D227))*24*60),"")</f>
      </c>
      <c r="G227" s="11"/>
      <c r="H227" s="11"/>
      <c r="I227" s="11">
        <f>IF(G227="","Pending",IF(G227&gt;=J227,"Accepted",IF(G227&gt;=(J227-Configuration!$C$5),"Tolerance","Refusal")))</f>
      </c>
      <c r="J227" s="11">
        <f>IFERROR(VLOOKUP(B227,'Plot Plan'!$A:$D,4,FALSE),"")</f>
      </c>
      <c r="K227" s="11">
        <f>IFERROR(VLOOKUP(B227,'Plot Plan'!$A:$B,2,FALSE),"")</f>
      </c>
      <c r="L227" s="11">
        <f>IFERROR(VLOOKUP(B227,'Plot Plan'!$A:$C,3,FALSE),"")</f>
      </c>
    </row>
    <row r="228" spans="1:12" s="8" customFormat="1" x14ac:dyDescent="0.25">
      <c r="A228" s="12"/>
      <c r="B228" s="10"/>
      <c r="C228" s="10"/>
      <c r="D228" s="10"/>
      <c r="E228" s="10"/>
      <c r="F228" s="10">
        <f>IF(AND(D228&lt;&gt;"",E228&lt;&gt;""),((TIMEVALUE(E228)-TIMEVALUE(D228))*24*60),"")</f>
      </c>
      <c r="G228" s="10"/>
      <c r="H228" s="10"/>
      <c r="I228" s="10">
        <f>IF(G228="","Pending",IF(G228&gt;=J228,"Accepted",IF(G228&gt;=(J228-Configuration!$C$5),"Tolerance","Refusal")))</f>
      </c>
      <c r="J228" s="10">
        <f>IFERROR(VLOOKUP(B228,'Plot Plan'!$A:$D,4,FALSE),"")</f>
      </c>
      <c r="K228" s="10">
        <f>IFERROR(VLOOKUP(B228,'Plot Plan'!$A:$B,2,FALSE),"")</f>
      </c>
      <c r="L228" s="10">
        <f>IFERROR(VLOOKUP(B228,'Plot Plan'!$A:$C,3,FALSE),"")</f>
      </c>
    </row>
    <row r="229" spans="1:12" x14ac:dyDescent="0.25">
      <c r="A229" s="13"/>
      <c r="B229" s="11"/>
      <c r="C229" s="11"/>
      <c r="D229" s="11"/>
      <c r="E229" s="11"/>
      <c r="F229" s="11">
        <f>IF(AND(D229&lt;&gt;"",E229&lt;&gt;""),((TIMEVALUE(E229)-TIMEVALUE(D229))*24*60),"")</f>
      </c>
      <c r="G229" s="11"/>
      <c r="H229" s="11"/>
      <c r="I229" s="11">
        <f>IF(G229="","Pending",IF(G229&gt;=J229,"Accepted",IF(G229&gt;=(J229-Configuration!$C$5),"Tolerance","Refusal")))</f>
      </c>
      <c r="J229" s="11">
        <f>IFERROR(VLOOKUP(B229,'Plot Plan'!$A:$D,4,FALSE),"")</f>
      </c>
      <c r="K229" s="11">
        <f>IFERROR(VLOOKUP(B229,'Plot Plan'!$A:$B,2,FALSE),"")</f>
      </c>
      <c r="L229" s="11">
        <f>IFERROR(VLOOKUP(B229,'Plot Plan'!$A:$C,3,FALSE),"")</f>
      </c>
    </row>
    <row r="230" spans="1:12" s="8" customFormat="1" x14ac:dyDescent="0.25">
      <c r="A230" s="12"/>
      <c r="B230" s="10"/>
      <c r="C230" s="10"/>
      <c r="D230" s="10"/>
      <c r="E230" s="10"/>
      <c r="F230" s="10">
        <f>IF(AND(D230&lt;&gt;"",E230&lt;&gt;""),((TIMEVALUE(E230)-TIMEVALUE(D230))*24*60),"")</f>
      </c>
      <c r="G230" s="10"/>
      <c r="H230" s="10"/>
      <c r="I230" s="10">
        <f>IF(G230="","Pending",IF(G230&gt;=J230,"Accepted",IF(G230&gt;=(J230-Configuration!$C$5),"Tolerance","Refusal")))</f>
      </c>
      <c r="J230" s="10">
        <f>IFERROR(VLOOKUP(B230,'Plot Plan'!$A:$D,4,FALSE),"")</f>
      </c>
      <c r="K230" s="10">
        <f>IFERROR(VLOOKUP(B230,'Plot Plan'!$A:$B,2,FALSE),"")</f>
      </c>
      <c r="L230" s="10">
        <f>IFERROR(VLOOKUP(B230,'Plot Plan'!$A:$C,3,FALSE),"")</f>
      </c>
    </row>
    <row r="231" spans="1:12" x14ac:dyDescent="0.25">
      <c r="A231" s="13"/>
      <c r="B231" s="11"/>
      <c r="C231" s="11"/>
      <c r="D231" s="11"/>
      <c r="E231" s="11"/>
      <c r="F231" s="11">
        <f>IF(AND(D231&lt;&gt;"",E231&lt;&gt;""),((TIMEVALUE(E231)-TIMEVALUE(D231))*24*60),"")</f>
      </c>
      <c r="G231" s="11"/>
      <c r="H231" s="11"/>
      <c r="I231" s="11">
        <f>IF(G231="","Pending",IF(G231&gt;=J231,"Accepted",IF(G231&gt;=(J231-Configuration!$C$5),"Tolerance","Refusal")))</f>
      </c>
      <c r="J231" s="11">
        <f>IFERROR(VLOOKUP(B231,'Plot Plan'!$A:$D,4,FALSE),"")</f>
      </c>
      <c r="K231" s="11">
        <f>IFERROR(VLOOKUP(B231,'Plot Plan'!$A:$B,2,FALSE),"")</f>
      </c>
      <c r="L231" s="11">
        <f>IFERROR(VLOOKUP(B231,'Plot Plan'!$A:$C,3,FALSE),"")</f>
      </c>
    </row>
    <row r="232" spans="1:12" s="8" customFormat="1" x14ac:dyDescent="0.25">
      <c r="A232" s="12"/>
      <c r="B232" s="10"/>
      <c r="C232" s="10"/>
      <c r="D232" s="10"/>
      <c r="E232" s="10"/>
      <c r="F232" s="10">
        <f>IF(AND(D232&lt;&gt;"",E232&lt;&gt;""),((TIMEVALUE(E232)-TIMEVALUE(D232))*24*60),"")</f>
      </c>
      <c r="G232" s="10"/>
      <c r="H232" s="10"/>
      <c r="I232" s="10">
        <f>IF(G232="","Pending",IF(G232&gt;=J232,"Accepted",IF(G232&gt;=(J232-Configuration!$C$5),"Tolerance","Refusal")))</f>
      </c>
      <c r="J232" s="10">
        <f>IFERROR(VLOOKUP(B232,'Plot Plan'!$A:$D,4,FALSE),"")</f>
      </c>
      <c r="K232" s="10">
        <f>IFERROR(VLOOKUP(B232,'Plot Plan'!$A:$B,2,FALSE),"")</f>
      </c>
      <c r="L232" s="10">
        <f>IFERROR(VLOOKUP(B232,'Plot Plan'!$A:$C,3,FALSE),"")</f>
      </c>
    </row>
    <row r="233" spans="1:12" x14ac:dyDescent="0.25">
      <c r="A233" s="13"/>
      <c r="B233" s="11"/>
      <c r="C233" s="11"/>
      <c r="D233" s="11"/>
      <c r="E233" s="11"/>
      <c r="F233" s="11">
        <f>IF(AND(D233&lt;&gt;"",E233&lt;&gt;""),((TIMEVALUE(E233)-TIMEVALUE(D233))*24*60),"")</f>
      </c>
      <c r="G233" s="11"/>
      <c r="H233" s="11"/>
      <c r="I233" s="11">
        <f>IF(G233="","Pending",IF(G233&gt;=J233,"Accepted",IF(G233&gt;=(J233-Configuration!$C$5),"Tolerance","Refusal")))</f>
      </c>
      <c r="J233" s="11">
        <f>IFERROR(VLOOKUP(B233,'Plot Plan'!$A:$D,4,FALSE),"")</f>
      </c>
      <c r="K233" s="11">
        <f>IFERROR(VLOOKUP(B233,'Plot Plan'!$A:$B,2,FALSE),"")</f>
      </c>
      <c r="L233" s="11">
        <f>IFERROR(VLOOKUP(B233,'Plot Plan'!$A:$C,3,FALSE),"")</f>
      </c>
    </row>
    <row r="234" spans="1:12" s="8" customFormat="1" x14ac:dyDescent="0.25">
      <c r="A234" s="12"/>
      <c r="B234" s="10"/>
      <c r="C234" s="10"/>
      <c r="D234" s="10"/>
      <c r="E234" s="10"/>
      <c r="F234" s="10">
        <f>IF(AND(D234&lt;&gt;"",E234&lt;&gt;""),((TIMEVALUE(E234)-TIMEVALUE(D234))*24*60),"")</f>
      </c>
      <c r="G234" s="10"/>
      <c r="H234" s="10"/>
      <c r="I234" s="10">
        <f>IF(G234="","Pending",IF(G234&gt;=J234,"Accepted",IF(G234&gt;=(J234-Configuration!$C$5),"Tolerance","Refusal")))</f>
      </c>
      <c r="J234" s="10">
        <f>IFERROR(VLOOKUP(B234,'Plot Plan'!$A:$D,4,FALSE),"")</f>
      </c>
      <c r="K234" s="10">
        <f>IFERROR(VLOOKUP(B234,'Plot Plan'!$A:$B,2,FALSE),"")</f>
      </c>
      <c r="L234" s="10">
        <f>IFERROR(VLOOKUP(B234,'Plot Plan'!$A:$C,3,FALSE),"")</f>
      </c>
    </row>
    <row r="235" spans="1:12" x14ac:dyDescent="0.25">
      <c r="A235" s="13"/>
      <c r="B235" s="11"/>
      <c r="C235" s="11"/>
      <c r="D235" s="11"/>
      <c r="E235" s="11"/>
      <c r="F235" s="11">
        <f>IF(AND(D235&lt;&gt;"",E235&lt;&gt;""),((TIMEVALUE(E235)-TIMEVALUE(D235))*24*60),"")</f>
      </c>
      <c r="G235" s="11"/>
      <c r="H235" s="11"/>
      <c r="I235" s="11">
        <f>IF(G235="","Pending",IF(G235&gt;=J235,"Accepted",IF(G235&gt;=(J235-Configuration!$C$5),"Tolerance","Refusal")))</f>
      </c>
      <c r="J235" s="11">
        <f>IFERROR(VLOOKUP(B235,'Plot Plan'!$A:$D,4,FALSE),"")</f>
      </c>
      <c r="K235" s="11">
        <f>IFERROR(VLOOKUP(B235,'Plot Plan'!$A:$B,2,FALSE),"")</f>
      </c>
      <c r="L235" s="11">
        <f>IFERROR(VLOOKUP(B235,'Plot Plan'!$A:$C,3,FALSE),"")</f>
      </c>
    </row>
    <row r="236" spans="1:12" s="8" customFormat="1" x14ac:dyDescent="0.25">
      <c r="A236" s="12"/>
      <c r="B236" s="10"/>
      <c r="C236" s="10"/>
      <c r="D236" s="10"/>
      <c r="E236" s="10"/>
      <c r="F236" s="10">
        <f>IF(AND(D236&lt;&gt;"",E236&lt;&gt;""),((TIMEVALUE(E236)-TIMEVALUE(D236))*24*60),"")</f>
      </c>
      <c r="G236" s="10"/>
      <c r="H236" s="10"/>
      <c r="I236" s="10">
        <f>IF(G236="","Pending",IF(G236&gt;=J236,"Accepted",IF(G236&gt;=(J236-Configuration!$C$5),"Tolerance","Refusal")))</f>
      </c>
      <c r="J236" s="10">
        <f>IFERROR(VLOOKUP(B236,'Plot Plan'!$A:$D,4,FALSE),"")</f>
      </c>
      <c r="K236" s="10">
        <f>IFERROR(VLOOKUP(B236,'Plot Plan'!$A:$B,2,FALSE),"")</f>
      </c>
      <c r="L236" s="10">
        <f>IFERROR(VLOOKUP(B236,'Plot Plan'!$A:$C,3,FALSE),"")</f>
      </c>
    </row>
    <row r="237" spans="1:12" x14ac:dyDescent="0.25">
      <c r="A237" s="13"/>
      <c r="B237" s="11"/>
      <c r="C237" s="11"/>
      <c r="D237" s="11"/>
      <c r="E237" s="11"/>
      <c r="F237" s="11">
        <f>IF(AND(D237&lt;&gt;"",E237&lt;&gt;""),((TIMEVALUE(E237)-TIMEVALUE(D237))*24*60),"")</f>
      </c>
      <c r="G237" s="11"/>
      <c r="H237" s="11"/>
      <c r="I237" s="11">
        <f>IF(G237="","Pending",IF(G237&gt;=J237,"Accepted",IF(G237&gt;=(J237-Configuration!$C$5),"Tolerance","Refusal")))</f>
      </c>
      <c r="J237" s="11">
        <f>IFERROR(VLOOKUP(B237,'Plot Plan'!$A:$D,4,FALSE),"")</f>
      </c>
      <c r="K237" s="11">
        <f>IFERROR(VLOOKUP(B237,'Plot Plan'!$A:$B,2,FALSE),"")</f>
      </c>
      <c r="L237" s="11">
        <f>IFERROR(VLOOKUP(B237,'Plot Plan'!$A:$C,3,FALSE),"")</f>
      </c>
    </row>
    <row r="238" spans="1:12" s="8" customFormat="1" x14ac:dyDescent="0.25">
      <c r="A238" s="12"/>
      <c r="B238" s="10"/>
      <c r="C238" s="10"/>
      <c r="D238" s="10"/>
      <c r="E238" s="10"/>
      <c r="F238" s="10">
        <f>IF(AND(D238&lt;&gt;"",E238&lt;&gt;""),((TIMEVALUE(E238)-TIMEVALUE(D238))*24*60),"")</f>
      </c>
      <c r="G238" s="10"/>
      <c r="H238" s="10"/>
      <c r="I238" s="10">
        <f>IF(G238="","Pending",IF(G238&gt;=J238,"Accepted",IF(G238&gt;=(J238-Configuration!$C$5),"Tolerance","Refusal")))</f>
      </c>
      <c r="J238" s="10">
        <f>IFERROR(VLOOKUP(B238,'Plot Plan'!$A:$D,4,FALSE),"")</f>
      </c>
      <c r="K238" s="10">
        <f>IFERROR(VLOOKUP(B238,'Plot Plan'!$A:$B,2,FALSE),"")</f>
      </c>
      <c r="L238" s="10">
        <f>IFERROR(VLOOKUP(B238,'Plot Plan'!$A:$C,3,FALSE),"")</f>
      </c>
    </row>
    <row r="239" spans="1:12" x14ac:dyDescent="0.25">
      <c r="A239" s="13"/>
      <c r="B239" s="11"/>
      <c r="C239" s="11"/>
      <c r="D239" s="11"/>
      <c r="E239" s="11"/>
      <c r="F239" s="11">
        <f>IF(AND(D239&lt;&gt;"",E239&lt;&gt;""),((TIMEVALUE(E239)-TIMEVALUE(D239))*24*60),"")</f>
      </c>
      <c r="G239" s="11"/>
      <c r="H239" s="11"/>
      <c r="I239" s="11">
        <f>IF(G239="","Pending",IF(G239&gt;=J239,"Accepted",IF(G239&gt;=(J239-Configuration!$C$5),"Tolerance","Refusal")))</f>
      </c>
      <c r="J239" s="11">
        <f>IFERROR(VLOOKUP(B239,'Plot Plan'!$A:$D,4,FALSE),"")</f>
      </c>
      <c r="K239" s="11">
        <f>IFERROR(VLOOKUP(B239,'Plot Plan'!$A:$B,2,FALSE),"")</f>
      </c>
      <c r="L239" s="11">
        <f>IFERROR(VLOOKUP(B239,'Plot Plan'!$A:$C,3,FALSE),"")</f>
      </c>
    </row>
    <row r="240" spans="1:12" s="8" customFormat="1" x14ac:dyDescent="0.25">
      <c r="A240" s="12"/>
      <c r="B240" s="10"/>
      <c r="C240" s="10"/>
      <c r="D240" s="10"/>
      <c r="E240" s="10"/>
      <c r="F240" s="10">
        <f>IF(AND(D240&lt;&gt;"",E240&lt;&gt;""),((TIMEVALUE(E240)-TIMEVALUE(D240))*24*60),"")</f>
      </c>
      <c r="G240" s="10"/>
      <c r="H240" s="10"/>
      <c r="I240" s="10">
        <f>IF(G240="","Pending",IF(G240&gt;=J240,"Accepted",IF(G240&gt;=(J240-Configuration!$C$5),"Tolerance","Refusal")))</f>
      </c>
      <c r="J240" s="10">
        <f>IFERROR(VLOOKUP(B240,'Plot Plan'!$A:$D,4,FALSE),"")</f>
      </c>
      <c r="K240" s="10">
        <f>IFERROR(VLOOKUP(B240,'Plot Plan'!$A:$B,2,FALSE),"")</f>
      </c>
      <c r="L240" s="10">
        <f>IFERROR(VLOOKUP(B240,'Plot Plan'!$A:$C,3,FALSE),"")</f>
      </c>
    </row>
    <row r="241" spans="1:12" x14ac:dyDescent="0.25">
      <c r="A241" s="13"/>
      <c r="B241" s="11"/>
      <c r="C241" s="11"/>
      <c r="D241" s="11"/>
      <c r="E241" s="11"/>
      <c r="F241" s="11">
        <f>IF(AND(D241&lt;&gt;"",E241&lt;&gt;""),((TIMEVALUE(E241)-TIMEVALUE(D241))*24*60),"")</f>
      </c>
      <c r="G241" s="11"/>
      <c r="H241" s="11"/>
      <c r="I241" s="11">
        <f>IF(G241="","Pending",IF(G241&gt;=J241,"Accepted",IF(G241&gt;=(J241-Configuration!$C$5),"Tolerance","Refusal")))</f>
      </c>
      <c r="J241" s="11">
        <f>IFERROR(VLOOKUP(B241,'Plot Plan'!$A:$D,4,FALSE),"")</f>
      </c>
      <c r="K241" s="11">
        <f>IFERROR(VLOOKUP(B241,'Plot Plan'!$A:$B,2,FALSE),"")</f>
      </c>
      <c r="L241" s="11">
        <f>IFERROR(VLOOKUP(B241,'Plot Plan'!$A:$C,3,FALSE),"")</f>
      </c>
    </row>
    <row r="242" spans="1:12" s="8" customFormat="1" x14ac:dyDescent="0.25">
      <c r="A242" s="12"/>
      <c r="B242" s="10"/>
      <c r="C242" s="10"/>
      <c r="D242" s="10"/>
      <c r="E242" s="10"/>
      <c r="F242" s="10">
        <f>IF(AND(D242&lt;&gt;"",E242&lt;&gt;""),((TIMEVALUE(E242)-TIMEVALUE(D242))*24*60),"")</f>
      </c>
      <c r="G242" s="10"/>
      <c r="H242" s="10"/>
      <c r="I242" s="10">
        <f>IF(G242="","Pending",IF(G242&gt;=J242,"Accepted",IF(G242&gt;=(J242-Configuration!$C$5),"Tolerance","Refusal")))</f>
      </c>
      <c r="J242" s="10">
        <f>IFERROR(VLOOKUP(B242,'Plot Plan'!$A:$D,4,FALSE),"")</f>
      </c>
      <c r="K242" s="10">
        <f>IFERROR(VLOOKUP(B242,'Plot Plan'!$A:$B,2,FALSE),"")</f>
      </c>
      <c r="L242" s="10">
        <f>IFERROR(VLOOKUP(B242,'Plot Plan'!$A:$C,3,FALSE),"")</f>
      </c>
    </row>
    <row r="243" spans="1:12" x14ac:dyDescent="0.25">
      <c r="A243" s="13"/>
      <c r="B243" s="11"/>
      <c r="C243" s="11"/>
      <c r="D243" s="11"/>
      <c r="E243" s="11"/>
      <c r="F243" s="11">
        <f>IF(AND(D243&lt;&gt;"",E243&lt;&gt;""),((TIMEVALUE(E243)-TIMEVALUE(D243))*24*60),"")</f>
      </c>
      <c r="G243" s="11"/>
      <c r="H243" s="11"/>
      <c r="I243" s="11">
        <f>IF(G243="","Pending",IF(G243&gt;=J243,"Accepted",IF(G243&gt;=(J243-Configuration!$C$5),"Tolerance","Refusal")))</f>
      </c>
      <c r="J243" s="11">
        <f>IFERROR(VLOOKUP(B243,'Plot Plan'!$A:$D,4,FALSE),"")</f>
      </c>
      <c r="K243" s="11">
        <f>IFERROR(VLOOKUP(B243,'Plot Plan'!$A:$B,2,FALSE),"")</f>
      </c>
      <c r="L243" s="11">
        <f>IFERROR(VLOOKUP(B243,'Plot Plan'!$A:$C,3,FALSE),"")</f>
      </c>
    </row>
    <row r="244" spans="1:12" s="8" customFormat="1" x14ac:dyDescent="0.25">
      <c r="A244" s="12"/>
      <c r="B244" s="10"/>
      <c r="C244" s="10"/>
      <c r="D244" s="10"/>
      <c r="E244" s="10"/>
      <c r="F244" s="10">
        <f>IF(AND(D244&lt;&gt;"",E244&lt;&gt;""),((TIMEVALUE(E244)-TIMEVALUE(D244))*24*60),"")</f>
      </c>
      <c r="G244" s="10"/>
      <c r="H244" s="10"/>
      <c r="I244" s="10">
        <f>IF(G244="","Pending",IF(G244&gt;=J244,"Accepted",IF(G244&gt;=(J244-Configuration!$C$5),"Tolerance","Refusal")))</f>
      </c>
      <c r="J244" s="10">
        <f>IFERROR(VLOOKUP(B244,'Plot Plan'!$A:$D,4,FALSE),"")</f>
      </c>
      <c r="K244" s="10">
        <f>IFERROR(VLOOKUP(B244,'Plot Plan'!$A:$B,2,FALSE),"")</f>
      </c>
      <c r="L244" s="10">
        <f>IFERROR(VLOOKUP(B244,'Plot Plan'!$A:$C,3,FALSE),"")</f>
      </c>
    </row>
    <row r="245" spans="1:12" x14ac:dyDescent="0.25">
      <c r="A245" s="13"/>
      <c r="B245" s="11"/>
      <c r="C245" s="11"/>
      <c r="D245" s="11"/>
      <c r="E245" s="11"/>
      <c r="F245" s="11">
        <f>IF(AND(D245&lt;&gt;"",E245&lt;&gt;""),((TIMEVALUE(E245)-TIMEVALUE(D245))*24*60),"")</f>
      </c>
      <c r="G245" s="11"/>
      <c r="H245" s="11"/>
      <c r="I245" s="11">
        <f>IF(G245="","Pending",IF(G245&gt;=J245,"Accepted",IF(G245&gt;=(J245-Configuration!$C$5),"Tolerance","Refusal")))</f>
      </c>
      <c r="J245" s="11">
        <f>IFERROR(VLOOKUP(B245,'Plot Plan'!$A:$D,4,FALSE),"")</f>
      </c>
      <c r="K245" s="11">
        <f>IFERROR(VLOOKUP(B245,'Plot Plan'!$A:$B,2,FALSE),"")</f>
      </c>
      <c r="L245" s="11">
        <f>IFERROR(VLOOKUP(B245,'Plot Plan'!$A:$C,3,FALSE),"")</f>
      </c>
    </row>
    <row r="246" spans="1:12" s="8" customFormat="1" x14ac:dyDescent="0.25">
      <c r="A246" s="12"/>
      <c r="B246" s="10"/>
      <c r="C246" s="10"/>
      <c r="D246" s="10"/>
      <c r="E246" s="10"/>
      <c r="F246" s="10">
        <f>IF(AND(D246&lt;&gt;"",E246&lt;&gt;""),((TIMEVALUE(E246)-TIMEVALUE(D246))*24*60),"")</f>
      </c>
      <c r="G246" s="10"/>
      <c r="H246" s="10"/>
      <c r="I246" s="10">
        <f>IF(G246="","Pending",IF(G246&gt;=J246,"Accepted",IF(G246&gt;=(J246-Configuration!$C$5),"Tolerance","Refusal")))</f>
      </c>
      <c r="J246" s="10">
        <f>IFERROR(VLOOKUP(B246,'Plot Plan'!$A:$D,4,FALSE),"")</f>
      </c>
      <c r="K246" s="10">
        <f>IFERROR(VLOOKUP(B246,'Plot Plan'!$A:$B,2,FALSE),"")</f>
      </c>
      <c r="L246" s="10">
        <f>IFERROR(VLOOKUP(B246,'Plot Plan'!$A:$C,3,FALSE),"")</f>
      </c>
    </row>
    <row r="247" spans="1:12" x14ac:dyDescent="0.25">
      <c r="A247" s="13"/>
      <c r="B247" s="11"/>
      <c r="C247" s="11"/>
      <c r="D247" s="11"/>
      <c r="E247" s="11"/>
      <c r="F247" s="11">
        <f>IF(AND(D247&lt;&gt;"",E247&lt;&gt;""),((TIMEVALUE(E247)-TIMEVALUE(D247))*24*60),"")</f>
      </c>
      <c r="G247" s="11"/>
      <c r="H247" s="11"/>
      <c r="I247" s="11">
        <f>IF(G247="","Pending",IF(G247&gt;=J247,"Accepted",IF(G247&gt;=(J247-Configuration!$C$5),"Tolerance","Refusal")))</f>
      </c>
      <c r="J247" s="11">
        <f>IFERROR(VLOOKUP(B247,'Plot Plan'!$A:$D,4,FALSE),"")</f>
      </c>
      <c r="K247" s="11">
        <f>IFERROR(VLOOKUP(B247,'Plot Plan'!$A:$B,2,FALSE),"")</f>
      </c>
      <c r="L247" s="11">
        <f>IFERROR(VLOOKUP(B247,'Plot Plan'!$A:$C,3,FALSE),"")</f>
      </c>
    </row>
    <row r="248" spans="1:12" s="8" customFormat="1" x14ac:dyDescent="0.25">
      <c r="A248" s="12"/>
      <c r="B248" s="10"/>
      <c r="C248" s="10"/>
      <c r="D248" s="10"/>
      <c r="E248" s="10"/>
      <c r="F248" s="10">
        <f>IF(AND(D248&lt;&gt;"",E248&lt;&gt;""),((TIMEVALUE(E248)-TIMEVALUE(D248))*24*60),"")</f>
      </c>
      <c r="G248" s="10"/>
      <c r="H248" s="10"/>
      <c r="I248" s="10">
        <f>IF(G248="","Pending",IF(G248&gt;=J248,"Accepted",IF(G248&gt;=(J248-Configuration!$C$5),"Tolerance","Refusal")))</f>
      </c>
      <c r="J248" s="10">
        <f>IFERROR(VLOOKUP(B248,'Plot Plan'!$A:$D,4,FALSE),"")</f>
      </c>
      <c r="K248" s="10">
        <f>IFERROR(VLOOKUP(B248,'Plot Plan'!$A:$B,2,FALSE),"")</f>
      </c>
      <c r="L248" s="10">
        <f>IFERROR(VLOOKUP(B248,'Plot Plan'!$A:$C,3,FALSE),"")</f>
      </c>
    </row>
    <row r="249" spans="1:12" x14ac:dyDescent="0.25">
      <c r="A249" s="13"/>
      <c r="B249" s="11"/>
      <c r="C249" s="11"/>
      <c r="D249" s="11"/>
      <c r="E249" s="11"/>
      <c r="F249" s="11">
        <f>IF(AND(D249&lt;&gt;"",E249&lt;&gt;""),((TIMEVALUE(E249)-TIMEVALUE(D249))*24*60),"")</f>
      </c>
      <c r="G249" s="11"/>
      <c r="H249" s="11"/>
      <c r="I249" s="11">
        <f>IF(G249="","Pending",IF(G249&gt;=J249,"Accepted",IF(G249&gt;=(J249-Configuration!$C$5),"Tolerance","Refusal")))</f>
      </c>
      <c r="J249" s="11">
        <f>IFERROR(VLOOKUP(B249,'Plot Plan'!$A:$D,4,FALSE),"")</f>
      </c>
      <c r="K249" s="11">
        <f>IFERROR(VLOOKUP(B249,'Plot Plan'!$A:$B,2,FALSE),"")</f>
      </c>
      <c r="L249" s="11">
        <f>IFERROR(VLOOKUP(B249,'Plot Plan'!$A:$C,3,FALSE),"")</f>
      </c>
    </row>
    <row r="250" spans="1:12" s="8" customFormat="1" x14ac:dyDescent="0.25">
      <c r="A250" s="12"/>
      <c r="B250" s="10"/>
      <c r="C250" s="10"/>
      <c r="D250" s="10"/>
      <c r="E250" s="10"/>
      <c r="F250" s="10">
        <f>IF(AND(D250&lt;&gt;"",E250&lt;&gt;""),((TIMEVALUE(E250)-TIMEVALUE(D250))*24*60),"")</f>
      </c>
      <c r="G250" s="10"/>
      <c r="H250" s="10"/>
      <c r="I250" s="10">
        <f>IF(G250="","Pending",IF(G250&gt;=J250,"Accepted",IF(G250&gt;=(J250-Configuration!$C$5),"Tolerance","Refusal")))</f>
      </c>
      <c r="J250" s="10">
        <f>IFERROR(VLOOKUP(B250,'Plot Plan'!$A:$D,4,FALSE),"")</f>
      </c>
      <c r="K250" s="10">
        <f>IFERROR(VLOOKUP(B250,'Plot Plan'!$A:$B,2,FALSE),"")</f>
      </c>
      <c r="L250" s="10">
        <f>IFERROR(VLOOKUP(B250,'Plot Plan'!$A:$C,3,FALSE),"")</f>
      </c>
    </row>
    <row r="251" spans="1:12" x14ac:dyDescent="0.25">
      <c r="A251" s="13"/>
      <c r="B251" s="11"/>
      <c r="C251" s="11"/>
      <c r="D251" s="11"/>
      <c r="E251" s="11"/>
      <c r="F251" s="11">
        <f>IF(AND(D251&lt;&gt;"",E251&lt;&gt;""),((TIMEVALUE(E251)-TIMEVALUE(D251))*24*60),"")</f>
      </c>
      <c r="G251" s="11"/>
      <c r="H251" s="11"/>
      <c r="I251" s="11">
        <f>IF(G251="","Pending",IF(G251&gt;=J251,"Accepted",IF(G251&gt;=(J251-Configuration!$C$5),"Tolerance","Refusal")))</f>
      </c>
      <c r="J251" s="11">
        <f>IFERROR(VLOOKUP(B251,'Plot Plan'!$A:$D,4,FALSE),"")</f>
      </c>
      <c r="K251" s="11">
        <f>IFERROR(VLOOKUP(B251,'Plot Plan'!$A:$B,2,FALSE),"")</f>
      </c>
      <c r="L251" s="11">
        <f>IFERROR(VLOOKUP(B251,'Plot Plan'!$A:$C,3,FALSE),"")</f>
      </c>
    </row>
    <row r="252" spans="1:12" s="8" customFormat="1" x14ac:dyDescent="0.25">
      <c r="A252" s="12"/>
      <c r="B252" s="10"/>
      <c r="C252" s="10"/>
      <c r="D252" s="10"/>
      <c r="E252" s="10"/>
      <c r="F252" s="10">
        <f>IF(AND(D252&lt;&gt;"",E252&lt;&gt;""),((TIMEVALUE(E252)-TIMEVALUE(D252))*24*60),"")</f>
      </c>
      <c r="G252" s="10"/>
      <c r="H252" s="10"/>
      <c r="I252" s="10">
        <f>IF(G252="","Pending",IF(G252&gt;=J252,"Accepted",IF(G252&gt;=(J252-Configuration!$C$5),"Tolerance","Refusal")))</f>
      </c>
      <c r="J252" s="10">
        <f>IFERROR(VLOOKUP(B252,'Plot Plan'!$A:$D,4,FALSE),"")</f>
      </c>
      <c r="K252" s="10">
        <f>IFERROR(VLOOKUP(B252,'Plot Plan'!$A:$B,2,FALSE),"")</f>
      </c>
      <c r="L252" s="10">
        <f>IFERROR(VLOOKUP(B252,'Plot Plan'!$A:$C,3,FALSE),"")</f>
      </c>
    </row>
    <row r="253" spans="1:12" x14ac:dyDescent="0.25">
      <c r="A253" s="13"/>
      <c r="B253" s="11"/>
      <c r="C253" s="11"/>
      <c r="D253" s="11"/>
      <c r="E253" s="11"/>
      <c r="F253" s="11">
        <f>IF(AND(D253&lt;&gt;"",E253&lt;&gt;""),((TIMEVALUE(E253)-TIMEVALUE(D253))*24*60),"")</f>
      </c>
      <c r="G253" s="11"/>
      <c r="H253" s="11"/>
      <c r="I253" s="11">
        <f>IF(G253="","Pending",IF(G253&gt;=J253,"Accepted",IF(G253&gt;=(J253-Configuration!$C$5),"Tolerance","Refusal")))</f>
      </c>
      <c r="J253" s="11">
        <f>IFERROR(VLOOKUP(B253,'Plot Plan'!$A:$D,4,FALSE),"")</f>
      </c>
      <c r="K253" s="11">
        <f>IFERROR(VLOOKUP(B253,'Plot Plan'!$A:$B,2,FALSE),"")</f>
      </c>
      <c r="L253" s="11">
        <f>IFERROR(VLOOKUP(B253,'Plot Plan'!$A:$C,3,FALSE),"")</f>
      </c>
    </row>
    <row r="254" spans="1:12" s="8" customFormat="1" x14ac:dyDescent="0.25">
      <c r="A254" s="12"/>
      <c r="B254" s="10"/>
      <c r="C254" s="10"/>
      <c r="D254" s="10"/>
      <c r="E254" s="10"/>
      <c r="F254" s="10">
        <f>IF(AND(D254&lt;&gt;"",E254&lt;&gt;""),((TIMEVALUE(E254)-TIMEVALUE(D254))*24*60),"")</f>
      </c>
      <c r="G254" s="10"/>
      <c r="H254" s="10"/>
      <c r="I254" s="10">
        <f>IF(G254="","Pending",IF(G254&gt;=J254,"Accepted",IF(G254&gt;=(J254-Configuration!$C$5),"Tolerance","Refusal")))</f>
      </c>
      <c r="J254" s="10">
        <f>IFERROR(VLOOKUP(B254,'Plot Plan'!$A:$D,4,FALSE),"")</f>
      </c>
      <c r="K254" s="10">
        <f>IFERROR(VLOOKUP(B254,'Plot Plan'!$A:$B,2,FALSE),"")</f>
      </c>
      <c r="L254" s="10">
        <f>IFERROR(VLOOKUP(B254,'Plot Plan'!$A:$C,3,FALSE),"")</f>
      </c>
    </row>
    <row r="255" spans="1:12" x14ac:dyDescent="0.25">
      <c r="A255" s="13"/>
      <c r="B255" s="11"/>
      <c r="C255" s="11"/>
      <c r="D255" s="11"/>
      <c r="E255" s="11"/>
      <c r="F255" s="11">
        <f>IF(AND(D255&lt;&gt;"",E255&lt;&gt;""),((TIMEVALUE(E255)-TIMEVALUE(D255))*24*60),"")</f>
      </c>
      <c r="G255" s="11"/>
      <c r="H255" s="11"/>
      <c r="I255" s="11">
        <f>IF(G255="","Pending",IF(G255&gt;=J255,"Accepted",IF(G255&gt;=(J255-Configuration!$C$5),"Tolerance","Refusal")))</f>
      </c>
      <c r="J255" s="11">
        <f>IFERROR(VLOOKUP(B255,'Plot Plan'!$A:$D,4,FALSE),"")</f>
      </c>
      <c r="K255" s="11">
        <f>IFERROR(VLOOKUP(B255,'Plot Plan'!$A:$B,2,FALSE),"")</f>
      </c>
      <c r="L255" s="11">
        <f>IFERROR(VLOOKUP(B255,'Plot Plan'!$A:$C,3,FALSE),"")</f>
      </c>
    </row>
    <row r="256" spans="1:12" s="8" customFormat="1" x14ac:dyDescent="0.25">
      <c r="A256" s="12"/>
      <c r="B256" s="10"/>
      <c r="C256" s="10"/>
      <c r="D256" s="10"/>
      <c r="E256" s="10"/>
      <c r="F256" s="10">
        <f>IF(AND(D256&lt;&gt;"",E256&lt;&gt;""),((TIMEVALUE(E256)-TIMEVALUE(D256))*24*60),"")</f>
      </c>
      <c r="G256" s="10"/>
      <c r="H256" s="10"/>
      <c r="I256" s="10">
        <f>IF(G256="","Pending",IF(G256&gt;=J256,"Accepted",IF(G256&gt;=(J256-Configuration!$C$5),"Tolerance","Refusal")))</f>
      </c>
      <c r="J256" s="10">
        <f>IFERROR(VLOOKUP(B256,'Plot Plan'!$A:$D,4,FALSE),"")</f>
      </c>
      <c r="K256" s="10">
        <f>IFERROR(VLOOKUP(B256,'Plot Plan'!$A:$B,2,FALSE),"")</f>
      </c>
      <c r="L256" s="10">
        <f>IFERROR(VLOOKUP(B256,'Plot Plan'!$A:$C,3,FALSE),"")</f>
      </c>
    </row>
    <row r="257" spans="1:12" x14ac:dyDescent="0.25">
      <c r="A257" s="13"/>
      <c r="B257" s="11"/>
      <c r="C257" s="11"/>
      <c r="D257" s="11"/>
      <c r="E257" s="11"/>
      <c r="F257" s="11">
        <f>IF(AND(D257&lt;&gt;"",E257&lt;&gt;""),((TIMEVALUE(E257)-TIMEVALUE(D257))*24*60),"")</f>
      </c>
      <c r="G257" s="11"/>
      <c r="H257" s="11"/>
      <c r="I257" s="11">
        <f>IF(G257="","Pending",IF(G257&gt;=J257,"Accepted",IF(G257&gt;=(J257-Configuration!$C$5),"Tolerance","Refusal")))</f>
      </c>
      <c r="J257" s="11">
        <f>IFERROR(VLOOKUP(B257,'Plot Plan'!$A:$D,4,FALSE),"")</f>
      </c>
      <c r="K257" s="11">
        <f>IFERROR(VLOOKUP(B257,'Plot Plan'!$A:$B,2,FALSE),"")</f>
      </c>
      <c r="L257" s="11">
        <f>IFERROR(VLOOKUP(B257,'Plot Plan'!$A:$C,3,FALSE),"")</f>
      </c>
    </row>
    <row r="258" spans="1:12" s="8" customFormat="1" x14ac:dyDescent="0.25">
      <c r="A258" s="12"/>
      <c r="B258" s="10"/>
      <c r="C258" s="10"/>
      <c r="D258" s="10"/>
      <c r="E258" s="10"/>
      <c r="F258" s="10">
        <f>IF(AND(D258&lt;&gt;"",E258&lt;&gt;""),((TIMEVALUE(E258)-TIMEVALUE(D258))*24*60),"")</f>
      </c>
      <c r="G258" s="10"/>
      <c r="H258" s="10"/>
      <c r="I258" s="10">
        <f>IF(G258="","Pending",IF(G258&gt;=J258,"Accepted",IF(G258&gt;=(J258-Configuration!$C$5),"Tolerance","Refusal")))</f>
      </c>
      <c r="J258" s="10">
        <f>IFERROR(VLOOKUP(B258,'Plot Plan'!$A:$D,4,FALSE),"")</f>
      </c>
      <c r="K258" s="10">
        <f>IFERROR(VLOOKUP(B258,'Plot Plan'!$A:$B,2,FALSE),"")</f>
      </c>
      <c r="L258" s="10">
        <f>IFERROR(VLOOKUP(B258,'Plot Plan'!$A:$C,3,FALSE),"")</f>
      </c>
    </row>
    <row r="259" spans="1:12" x14ac:dyDescent="0.25">
      <c r="A259" s="13"/>
      <c r="B259" s="11"/>
      <c r="C259" s="11"/>
      <c r="D259" s="11"/>
      <c r="E259" s="11"/>
      <c r="F259" s="11">
        <f>IF(AND(D259&lt;&gt;"",E259&lt;&gt;""),((TIMEVALUE(E259)-TIMEVALUE(D259))*24*60),"")</f>
      </c>
      <c r="G259" s="11"/>
      <c r="H259" s="11"/>
      <c r="I259" s="11">
        <f>IF(G259="","Pending",IF(G259&gt;=J259,"Accepted",IF(G259&gt;=(J259-Configuration!$C$5),"Tolerance","Refusal")))</f>
      </c>
      <c r="J259" s="11">
        <f>IFERROR(VLOOKUP(B259,'Plot Plan'!$A:$D,4,FALSE),"")</f>
      </c>
      <c r="K259" s="11">
        <f>IFERROR(VLOOKUP(B259,'Plot Plan'!$A:$B,2,FALSE),"")</f>
      </c>
      <c r="L259" s="11">
        <f>IFERROR(VLOOKUP(B259,'Plot Plan'!$A:$C,3,FALSE),"")</f>
      </c>
    </row>
    <row r="260" spans="1:12" s="8" customFormat="1" x14ac:dyDescent="0.25">
      <c r="A260" s="12"/>
      <c r="B260" s="10"/>
      <c r="C260" s="10"/>
      <c r="D260" s="10"/>
      <c r="E260" s="10"/>
      <c r="F260" s="10">
        <f>IF(AND(D260&lt;&gt;"",E260&lt;&gt;""),((TIMEVALUE(E260)-TIMEVALUE(D260))*24*60),"")</f>
      </c>
      <c r="G260" s="10"/>
      <c r="H260" s="10"/>
      <c r="I260" s="10">
        <f>IF(G260="","Pending",IF(G260&gt;=J260,"Accepted",IF(G260&gt;=(J260-Configuration!$C$5),"Tolerance","Refusal")))</f>
      </c>
      <c r="J260" s="10">
        <f>IFERROR(VLOOKUP(B260,'Plot Plan'!$A:$D,4,FALSE),"")</f>
      </c>
      <c r="K260" s="10">
        <f>IFERROR(VLOOKUP(B260,'Plot Plan'!$A:$B,2,FALSE),"")</f>
      </c>
      <c r="L260" s="10">
        <f>IFERROR(VLOOKUP(B260,'Plot Plan'!$A:$C,3,FALSE),"")</f>
      </c>
    </row>
    <row r="261" spans="1:12" x14ac:dyDescent="0.25">
      <c r="A261" s="13"/>
      <c r="B261" s="11"/>
      <c r="C261" s="11"/>
      <c r="D261" s="11"/>
      <c r="E261" s="11"/>
      <c r="F261" s="11">
        <f>IF(AND(D261&lt;&gt;"",E261&lt;&gt;""),((TIMEVALUE(E261)-TIMEVALUE(D261))*24*60),"")</f>
      </c>
      <c r="G261" s="11"/>
      <c r="H261" s="11"/>
      <c r="I261" s="11">
        <f>IF(G261="","Pending",IF(G261&gt;=J261,"Accepted",IF(G261&gt;=(J261-Configuration!$C$5),"Tolerance","Refusal")))</f>
      </c>
      <c r="J261" s="11">
        <f>IFERROR(VLOOKUP(B261,'Plot Plan'!$A:$D,4,FALSE),"")</f>
      </c>
      <c r="K261" s="11">
        <f>IFERROR(VLOOKUP(B261,'Plot Plan'!$A:$B,2,FALSE),"")</f>
      </c>
      <c r="L261" s="11">
        <f>IFERROR(VLOOKUP(B261,'Plot Plan'!$A:$C,3,FALSE),"")</f>
      </c>
    </row>
    <row r="262" spans="1:12" s="8" customFormat="1" x14ac:dyDescent="0.25">
      <c r="A262" s="12"/>
      <c r="B262" s="10"/>
      <c r="C262" s="10"/>
      <c r="D262" s="10"/>
      <c r="E262" s="10"/>
      <c r="F262" s="10">
        <f>IF(AND(D262&lt;&gt;"",E262&lt;&gt;""),((TIMEVALUE(E262)-TIMEVALUE(D262))*24*60),"")</f>
      </c>
      <c r="G262" s="10"/>
      <c r="H262" s="10"/>
      <c r="I262" s="10">
        <f>IF(G262="","Pending",IF(G262&gt;=J262,"Accepted",IF(G262&gt;=(J262-Configuration!$C$5),"Tolerance","Refusal")))</f>
      </c>
      <c r="J262" s="10">
        <f>IFERROR(VLOOKUP(B262,'Plot Plan'!$A:$D,4,FALSE),"")</f>
      </c>
      <c r="K262" s="10">
        <f>IFERROR(VLOOKUP(B262,'Plot Plan'!$A:$B,2,FALSE),"")</f>
      </c>
      <c r="L262" s="10">
        <f>IFERROR(VLOOKUP(B262,'Plot Plan'!$A:$C,3,FALSE),"")</f>
      </c>
    </row>
    <row r="263" spans="1:12" x14ac:dyDescent="0.25">
      <c r="A263" s="13"/>
      <c r="B263" s="11"/>
      <c r="C263" s="11"/>
      <c r="D263" s="11"/>
      <c r="E263" s="11"/>
      <c r="F263" s="11">
        <f>IF(AND(D263&lt;&gt;"",E263&lt;&gt;""),((TIMEVALUE(E263)-TIMEVALUE(D263))*24*60),"")</f>
      </c>
      <c r="G263" s="11"/>
      <c r="H263" s="11"/>
      <c r="I263" s="11">
        <f>IF(G263="","Pending",IF(G263&gt;=J263,"Accepted",IF(G263&gt;=(J263-Configuration!$C$5),"Tolerance","Refusal")))</f>
      </c>
      <c r="J263" s="11">
        <f>IFERROR(VLOOKUP(B263,'Plot Plan'!$A:$D,4,FALSE),"")</f>
      </c>
      <c r="K263" s="11">
        <f>IFERROR(VLOOKUP(B263,'Plot Plan'!$A:$B,2,FALSE),"")</f>
      </c>
      <c r="L263" s="11">
        <f>IFERROR(VLOOKUP(B263,'Plot Plan'!$A:$C,3,FALSE),"")</f>
      </c>
    </row>
    <row r="264" spans="1:12" s="8" customFormat="1" x14ac:dyDescent="0.25">
      <c r="A264" s="12"/>
      <c r="B264" s="10"/>
      <c r="C264" s="10"/>
      <c r="D264" s="10"/>
      <c r="E264" s="10"/>
      <c r="F264" s="10">
        <f>IF(AND(D264&lt;&gt;"",E264&lt;&gt;""),((TIMEVALUE(E264)-TIMEVALUE(D264))*24*60),"")</f>
      </c>
      <c r="G264" s="10"/>
      <c r="H264" s="10"/>
      <c r="I264" s="10">
        <f>IF(G264="","Pending",IF(G264&gt;=J264,"Accepted",IF(G264&gt;=(J264-Configuration!$C$5),"Tolerance","Refusal")))</f>
      </c>
      <c r="J264" s="10">
        <f>IFERROR(VLOOKUP(B264,'Plot Plan'!$A:$D,4,FALSE),"")</f>
      </c>
      <c r="K264" s="10">
        <f>IFERROR(VLOOKUP(B264,'Plot Plan'!$A:$B,2,FALSE),"")</f>
      </c>
      <c r="L264" s="10">
        <f>IFERROR(VLOOKUP(B264,'Plot Plan'!$A:$C,3,FALSE),"")</f>
      </c>
    </row>
    <row r="265" spans="1:12" x14ac:dyDescent="0.25">
      <c r="A265" s="13"/>
      <c r="B265" s="11"/>
      <c r="C265" s="11"/>
      <c r="D265" s="11"/>
      <c r="E265" s="11"/>
      <c r="F265" s="11">
        <f>IF(AND(D265&lt;&gt;"",E265&lt;&gt;""),((TIMEVALUE(E265)-TIMEVALUE(D265))*24*60),"")</f>
      </c>
      <c r="G265" s="11"/>
      <c r="H265" s="11"/>
      <c r="I265" s="11">
        <f>IF(G265="","Pending",IF(G265&gt;=J265,"Accepted",IF(G265&gt;=(J265-Configuration!$C$5),"Tolerance","Refusal")))</f>
      </c>
      <c r="J265" s="11">
        <f>IFERROR(VLOOKUP(B265,'Plot Plan'!$A:$D,4,FALSE),"")</f>
      </c>
      <c r="K265" s="11">
        <f>IFERROR(VLOOKUP(B265,'Plot Plan'!$A:$B,2,FALSE),"")</f>
      </c>
      <c r="L265" s="11">
        <f>IFERROR(VLOOKUP(B265,'Plot Plan'!$A:$C,3,FALSE),"")</f>
      </c>
    </row>
    <row r="266" spans="1:12" s="8" customFormat="1" x14ac:dyDescent="0.25">
      <c r="A266" s="12"/>
      <c r="B266" s="10"/>
      <c r="C266" s="10"/>
      <c r="D266" s="10"/>
      <c r="E266" s="10"/>
      <c r="F266" s="10">
        <f>IF(AND(D266&lt;&gt;"",E266&lt;&gt;""),((TIMEVALUE(E266)-TIMEVALUE(D266))*24*60),"")</f>
      </c>
      <c r="G266" s="10"/>
      <c r="H266" s="10"/>
      <c r="I266" s="10">
        <f>IF(G266="","Pending",IF(G266&gt;=J266,"Accepted",IF(G266&gt;=(J266-Configuration!$C$5),"Tolerance","Refusal")))</f>
      </c>
      <c r="J266" s="10">
        <f>IFERROR(VLOOKUP(B266,'Plot Plan'!$A:$D,4,FALSE),"")</f>
      </c>
      <c r="K266" s="10">
        <f>IFERROR(VLOOKUP(B266,'Plot Plan'!$A:$B,2,FALSE),"")</f>
      </c>
      <c r="L266" s="10">
        <f>IFERROR(VLOOKUP(B266,'Plot Plan'!$A:$C,3,FALSE),"")</f>
      </c>
    </row>
    <row r="267" spans="1:12" x14ac:dyDescent="0.25">
      <c r="A267" s="13"/>
      <c r="B267" s="11"/>
      <c r="C267" s="11"/>
      <c r="D267" s="11"/>
      <c r="E267" s="11"/>
      <c r="F267" s="11">
        <f>IF(AND(D267&lt;&gt;"",E267&lt;&gt;""),((TIMEVALUE(E267)-TIMEVALUE(D267))*24*60),"")</f>
      </c>
      <c r="G267" s="11"/>
      <c r="H267" s="11"/>
      <c r="I267" s="11">
        <f>IF(G267="","Pending",IF(G267&gt;=J267,"Accepted",IF(G267&gt;=(J267-Configuration!$C$5),"Tolerance","Refusal")))</f>
      </c>
      <c r="J267" s="11">
        <f>IFERROR(VLOOKUP(B267,'Plot Plan'!$A:$D,4,FALSE),"")</f>
      </c>
      <c r="K267" s="11">
        <f>IFERROR(VLOOKUP(B267,'Plot Plan'!$A:$B,2,FALSE),"")</f>
      </c>
      <c r="L267" s="11">
        <f>IFERROR(VLOOKUP(B267,'Plot Plan'!$A:$C,3,FALSE),"")</f>
      </c>
    </row>
    <row r="268" spans="1:12" s="8" customFormat="1" x14ac:dyDescent="0.25">
      <c r="A268" s="12"/>
      <c r="B268" s="10"/>
      <c r="C268" s="10"/>
      <c r="D268" s="10"/>
      <c r="E268" s="10"/>
      <c r="F268" s="10">
        <f>IF(AND(D268&lt;&gt;"",E268&lt;&gt;""),((TIMEVALUE(E268)-TIMEVALUE(D268))*24*60),"")</f>
      </c>
      <c r="G268" s="10"/>
      <c r="H268" s="10"/>
      <c r="I268" s="10">
        <f>IF(G268="","Pending",IF(G268&gt;=J268,"Accepted",IF(G268&gt;=(J268-Configuration!$C$5),"Tolerance","Refusal")))</f>
      </c>
      <c r="J268" s="10">
        <f>IFERROR(VLOOKUP(B268,'Plot Plan'!$A:$D,4,FALSE),"")</f>
      </c>
      <c r="K268" s="10">
        <f>IFERROR(VLOOKUP(B268,'Plot Plan'!$A:$B,2,FALSE),"")</f>
      </c>
      <c r="L268" s="10">
        <f>IFERROR(VLOOKUP(B268,'Plot Plan'!$A:$C,3,FALSE),"")</f>
      </c>
    </row>
    <row r="269" spans="1:12" x14ac:dyDescent="0.25">
      <c r="A269" s="13"/>
      <c r="B269" s="11"/>
      <c r="C269" s="11"/>
      <c r="D269" s="11"/>
      <c r="E269" s="11"/>
      <c r="F269" s="11">
        <f>IF(AND(D269&lt;&gt;"",E269&lt;&gt;""),((TIMEVALUE(E269)-TIMEVALUE(D269))*24*60),"")</f>
      </c>
      <c r="G269" s="11"/>
      <c r="H269" s="11"/>
      <c r="I269" s="11">
        <f>IF(G269="","Pending",IF(G269&gt;=J269,"Accepted",IF(G269&gt;=(J269-Configuration!$C$5),"Tolerance","Refusal")))</f>
      </c>
      <c r="J269" s="11">
        <f>IFERROR(VLOOKUP(B269,'Plot Plan'!$A:$D,4,FALSE),"")</f>
      </c>
      <c r="K269" s="11">
        <f>IFERROR(VLOOKUP(B269,'Plot Plan'!$A:$B,2,FALSE),"")</f>
      </c>
      <c r="L269" s="11">
        <f>IFERROR(VLOOKUP(B269,'Plot Plan'!$A:$C,3,FALSE),"")</f>
      </c>
    </row>
    <row r="270" spans="1:12" s="8" customFormat="1" x14ac:dyDescent="0.25">
      <c r="A270" s="12"/>
      <c r="B270" s="10"/>
      <c r="C270" s="10"/>
      <c r="D270" s="10"/>
      <c r="E270" s="10"/>
      <c r="F270" s="10">
        <f>IF(AND(D270&lt;&gt;"",E270&lt;&gt;""),((TIMEVALUE(E270)-TIMEVALUE(D270))*24*60),"")</f>
      </c>
      <c r="G270" s="10"/>
      <c r="H270" s="10"/>
      <c r="I270" s="10">
        <f>IF(G270="","Pending",IF(G270&gt;=J270,"Accepted",IF(G270&gt;=(J270-Configuration!$C$5),"Tolerance","Refusal")))</f>
      </c>
      <c r="J270" s="10">
        <f>IFERROR(VLOOKUP(B270,'Plot Plan'!$A:$D,4,FALSE),"")</f>
      </c>
      <c r="K270" s="10">
        <f>IFERROR(VLOOKUP(B270,'Plot Plan'!$A:$B,2,FALSE),"")</f>
      </c>
      <c r="L270" s="10">
        <f>IFERROR(VLOOKUP(B270,'Plot Plan'!$A:$C,3,FALSE),"")</f>
      </c>
    </row>
    <row r="271" spans="1:12" x14ac:dyDescent="0.25">
      <c r="A271" s="13"/>
      <c r="B271" s="11"/>
      <c r="C271" s="11"/>
      <c r="D271" s="11"/>
      <c r="E271" s="11"/>
      <c r="F271" s="11">
        <f>IF(AND(D271&lt;&gt;"",E271&lt;&gt;""),((TIMEVALUE(E271)-TIMEVALUE(D271))*24*60),"")</f>
      </c>
      <c r="G271" s="11"/>
      <c r="H271" s="11"/>
      <c r="I271" s="11">
        <f>IF(G271="","Pending",IF(G271&gt;=J271,"Accepted",IF(G271&gt;=(J271-Configuration!$C$5),"Tolerance","Refusal")))</f>
      </c>
      <c r="J271" s="11">
        <f>IFERROR(VLOOKUP(B271,'Plot Plan'!$A:$D,4,FALSE),"")</f>
      </c>
      <c r="K271" s="11">
        <f>IFERROR(VLOOKUP(B271,'Plot Plan'!$A:$B,2,FALSE),"")</f>
      </c>
      <c r="L271" s="11">
        <f>IFERROR(VLOOKUP(B271,'Plot Plan'!$A:$C,3,FALSE),"")</f>
      </c>
    </row>
    <row r="272" spans="1:12" s="8" customFormat="1" x14ac:dyDescent="0.25">
      <c r="A272" s="12"/>
      <c r="B272" s="10"/>
      <c r="C272" s="10"/>
      <c r="D272" s="10"/>
      <c r="E272" s="10"/>
      <c r="F272" s="10">
        <f>IF(AND(D272&lt;&gt;"",E272&lt;&gt;""),((TIMEVALUE(E272)-TIMEVALUE(D272))*24*60),"")</f>
      </c>
      <c r="G272" s="10"/>
      <c r="H272" s="10"/>
      <c r="I272" s="10">
        <f>IF(G272="","Pending",IF(G272&gt;=J272,"Accepted",IF(G272&gt;=(J272-Configuration!$C$5),"Tolerance","Refusal")))</f>
      </c>
      <c r="J272" s="10">
        <f>IFERROR(VLOOKUP(B272,'Plot Plan'!$A:$D,4,FALSE),"")</f>
      </c>
      <c r="K272" s="10">
        <f>IFERROR(VLOOKUP(B272,'Plot Plan'!$A:$B,2,FALSE),"")</f>
      </c>
      <c r="L272" s="10">
        <f>IFERROR(VLOOKUP(B272,'Plot Plan'!$A:$C,3,FALSE),"")</f>
      </c>
    </row>
    <row r="273" spans="1:12" x14ac:dyDescent="0.25">
      <c r="A273" s="13"/>
      <c r="B273" s="11"/>
      <c r="C273" s="11"/>
      <c r="D273" s="11"/>
      <c r="E273" s="11"/>
      <c r="F273" s="11">
        <f>IF(AND(D273&lt;&gt;"",E273&lt;&gt;""),((TIMEVALUE(E273)-TIMEVALUE(D273))*24*60),"")</f>
      </c>
      <c r="G273" s="11"/>
      <c r="H273" s="11"/>
      <c r="I273" s="11">
        <f>IF(G273="","Pending",IF(G273&gt;=J273,"Accepted",IF(G273&gt;=(J273-Configuration!$C$5),"Tolerance","Refusal")))</f>
      </c>
      <c r="J273" s="11">
        <f>IFERROR(VLOOKUP(B273,'Plot Plan'!$A:$D,4,FALSE),"")</f>
      </c>
      <c r="K273" s="11">
        <f>IFERROR(VLOOKUP(B273,'Plot Plan'!$A:$B,2,FALSE),"")</f>
      </c>
      <c r="L273" s="11">
        <f>IFERROR(VLOOKUP(B273,'Plot Plan'!$A:$C,3,FALSE),"")</f>
      </c>
    </row>
    <row r="274" spans="1:12" s="8" customFormat="1" x14ac:dyDescent="0.25">
      <c r="A274" s="12"/>
      <c r="B274" s="10"/>
      <c r="C274" s="10"/>
      <c r="D274" s="10"/>
      <c r="E274" s="10"/>
      <c r="F274" s="10">
        <f>IF(AND(D274&lt;&gt;"",E274&lt;&gt;""),((TIMEVALUE(E274)-TIMEVALUE(D274))*24*60),"")</f>
      </c>
      <c r="G274" s="10"/>
      <c r="H274" s="10"/>
      <c r="I274" s="10">
        <f>IF(G274="","Pending",IF(G274&gt;=J274,"Accepted",IF(G274&gt;=(J274-Configuration!$C$5),"Tolerance","Refusal")))</f>
      </c>
      <c r="J274" s="10">
        <f>IFERROR(VLOOKUP(B274,'Plot Plan'!$A:$D,4,FALSE),"")</f>
      </c>
      <c r="K274" s="10">
        <f>IFERROR(VLOOKUP(B274,'Plot Plan'!$A:$B,2,FALSE),"")</f>
      </c>
      <c r="L274" s="10">
        <f>IFERROR(VLOOKUP(B274,'Plot Plan'!$A:$C,3,FALSE),"")</f>
      </c>
    </row>
    <row r="275" spans="1:12" x14ac:dyDescent="0.25">
      <c r="A275" s="13"/>
      <c r="B275" s="11"/>
      <c r="C275" s="11"/>
      <c r="D275" s="11"/>
      <c r="E275" s="11"/>
      <c r="F275" s="11">
        <f>IF(AND(D275&lt;&gt;"",E275&lt;&gt;""),((TIMEVALUE(E275)-TIMEVALUE(D275))*24*60),"")</f>
      </c>
      <c r="G275" s="11"/>
      <c r="H275" s="11"/>
      <c r="I275" s="11">
        <f>IF(G275="","Pending",IF(G275&gt;=J275,"Accepted",IF(G275&gt;=(J275-Configuration!$C$5),"Tolerance","Refusal")))</f>
      </c>
      <c r="J275" s="11">
        <f>IFERROR(VLOOKUP(B275,'Plot Plan'!$A:$D,4,FALSE),"")</f>
      </c>
      <c r="K275" s="11">
        <f>IFERROR(VLOOKUP(B275,'Plot Plan'!$A:$B,2,FALSE),"")</f>
      </c>
      <c r="L275" s="11">
        <f>IFERROR(VLOOKUP(B275,'Plot Plan'!$A:$C,3,FALSE),"")</f>
      </c>
    </row>
    <row r="276" spans="1:12" s="8" customFormat="1" x14ac:dyDescent="0.25">
      <c r="A276" s="12"/>
      <c r="B276" s="10"/>
      <c r="C276" s="10"/>
      <c r="D276" s="10"/>
      <c r="E276" s="10"/>
      <c r="F276" s="10">
        <f>IF(AND(D276&lt;&gt;"",E276&lt;&gt;""),((TIMEVALUE(E276)-TIMEVALUE(D276))*24*60),"")</f>
      </c>
      <c r="G276" s="10"/>
      <c r="H276" s="10"/>
      <c r="I276" s="10">
        <f>IF(G276="","Pending",IF(G276&gt;=J276,"Accepted",IF(G276&gt;=(J276-Configuration!$C$5),"Tolerance","Refusal")))</f>
      </c>
      <c r="J276" s="10">
        <f>IFERROR(VLOOKUP(B276,'Plot Plan'!$A:$D,4,FALSE),"")</f>
      </c>
      <c r="K276" s="10">
        <f>IFERROR(VLOOKUP(B276,'Plot Plan'!$A:$B,2,FALSE),"")</f>
      </c>
      <c r="L276" s="10">
        <f>IFERROR(VLOOKUP(B276,'Plot Plan'!$A:$C,3,FALSE),"")</f>
      </c>
    </row>
    <row r="277" spans="1:12" x14ac:dyDescent="0.25">
      <c r="A277" s="13"/>
      <c r="B277" s="11"/>
      <c r="C277" s="11"/>
      <c r="D277" s="11"/>
      <c r="E277" s="11"/>
      <c r="F277" s="11">
        <f>IF(AND(D277&lt;&gt;"",E277&lt;&gt;""),((TIMEVALUE(E277)-TIMEVALUE(D277))*24*60),"")</f>
      </c>
      <c r="G277" s="11"/>
      <c r="H277" s="11"/>
      <c r="I277" s="11">
        <f>IF(G277="","Pending",IF(G277&gt;=J277,"Accepted",IF(G277&gt;=(J277-Configuration!$C$5),"Tolerance","Refusal")))</f>
      </c>
      <c r="J277" s="11">
        <f>IFERROR(VLOOKUP(B277,'Plot Plan'!$A:$D,4,FALSE),"")</f>
      </c>
      <c r="K277" s="11">
        <f>IFERROR(VLOOKUP(B277,'Plot Plan'!$A:$B,2,FALSE),"")</f>
      </c>
      <c r="L277" s="11">
        <f>IFERROR(VLOOKUP(B277,'Plot Plan'!$A:$C,3,FALSE),"")</f>
      </c>
    </row>
    <row r="278" spans="1:12" s="8" customFormat="1" x14ac:dyDescent="0.25">
      <c r="A278" s="12"/>
      <c r="B278" s="10"/>
      <c r="C278" s="10"/>
      <c r="D278" s="10"/>
      <c r="E278" s="10"/>
      <c r="F278" s="10">
        <f>IF(AND(D278&lt;&gt;"",E278&lt;&gt;""),((TIMEVALUE(E278)-TIMEVALUE(D278))*24*60),"")</f>
      </c>
      <c r="G278" s="10"/>
      <c r="H278" s="10"/>
      <c r="I278" s="10">
        <f>IF(G278="","Pending",IF(G278&gt;=J278,"Accepted",IF(G278&gt;=(J278-Configuration!$C$5),"Tolerance","Refusal")))</f>
      </c>
      <c r="J278" s="10">
        <f>IFERROR(VLOOKUP(B278,'Plot Plan'!$A:$D,4,FALSE),"")</f>
      </c>
      <c r="K278" s="10">
        <f>IFERROR(VLOOKUP(B278,'Plot Plan'!$A:$B,2,FALSE),"")</f>
      </c>
      <c r="L278" s="10">
        <f>IFERROR(VLOOKUP(B278,'Plot Plan'!$A:$C,3,FALSE),"")</f>
      </c>
    </row>
    <row r="279" spans="1:12" x14ac:dyDescent="0.25">
      <c r="A279" s="13"/>
      <c r="B279" s="11"/>
      <c r="C279" s="11"/>
      <c r="D279" s="11"/>
      <c r="E279" s="11"/>
      <c r="F279" s="11">
        <f>IF(AND(D279&lt;&gt;"",E279&lt;&gt;""),((TIMEVALUE(E279)-TIMEVALUE(D279))*24*60),"")</f>
      </c>
      <c r="G279" s="11"/>
      <c r="H279" s="11"/>
      <c r="I279" s="11">
        <f>IF(G279="","Pending",IF(G279&gt;=J279,"Accepted",IF(G279&gt;=(J279-Configuration!$C$5),"Tolerance","Refusal")))</f>
      </c>
      <c r="J279" s="11">
        <f>IFERROR(VLOOKUP(B279,'Plot Plan'!$A:$D,4,FALSE),"")</f>
      </c>
      <c r="K279" s="11">
        <f>IFERROR(VLOOKUP(B279,'Plot Plan'!$A:$B,2,FALSE),"")</f>
      </c>
      <c r="L279" s="11">
        <f>IFERROR(VLOOKUP(B279,'Plot Plan'!$A:$C,3,FALSE),"")</f>
      </c>
    </row>
    <row r="280" spans="1:12" s="8" customFormat="1" x14ac:dyDescent="0.25">
      <c r="A280" s="12"/>
      <c r="B280" s="10"/>
      <c r="C280" s="10"/>
      <c r="D280" s="10"/>
      <c r="E280" s="10"/>
      <c r="F280" s="10">
        <f>IF(AND(D280&lt;&gt;"",E280&lt;&gt;""),((TIMEVALUE(E280)-TIMEVALUE(D280))*24*60),"")</f>
      </c>
      <c r="G280" s="10"/>
      <c r="H280" s="10"/>
      <c r="I280" s="10">
        <f>IF(G280="","Pending",IF(G280&gt;=J280,"Accepted",IF(G280&gt;=(J280-Configuration!$C$5),"Tolerance","Refusal")))</f>
      </c>
      <c r="J280" s="10">
        <f>IFERROR(VLOOKUP(B280,'Plot Plan'!$A:$D,4,FALSE),"")</f>
      </c>
      <c r="K280" s="10">
        <f>IFERROR(VLOOKUP(B280,'Plot Plan'!$A:$B,2,FALSE),"")</f>
      </c>
      <c r="L280" s="10">
        <f>IFERROR(VLOOKUP(B280,'Plot Plan'!$A:$C,3,FALSE),"")</f>
      </c>
    </row>
    <row r="281" spans="1:12" x14ac:dyDescent="0.25">
      <c r="A281" s="13"/>
      <c r="B281" s="11"/>
      <c r="C281" s="11"/>
      <c r="D281" s="11"/>
      <c r="E281" s="11"/>
      <c r="F281" s="11">
        <f>IF(AND(D281&lt;&gt;"",E281&lt;&gt;""),((TIMEVALUE(E281)-TIMEVALUE(D281))*24*60),"")</f>
      </c>
      <c r="G281" s="11"/>
      <c r="H281" s="11"/>
      <c r="I281" s="11">
        <f>IF(G281="","Pending",IF(G281&gt;=J281,"Accepted",IF(G281&gt;=(J281-Configuration!$C$5),"Tolerance","Refusal")))</f>
      </c>
      <c r="J281" s="11">
        <f>IFERROR(VLOOKUP(B281,'Plot Plan'!$A:$D,4,FALSE),"")</f>
      </c>
      <c r="K281" s="11">
        <f>IFERROR(VLOOKUP(B281,'Plot Plan'!$A:$B,2,FALSE),"")</f>
      </c>
      <c r="L281" s="11">
        <f>IFERROR(VLOOKUP(B281,'Plot Plan'!$A:$C,3,FALSE),"")</f>
      </c>
    </row>
    <row r="282" spans="1:12" s="8" customFormat="1" x14ac:dyDescent="0.25">
      <c r="A282" s="12"/>
      <c r="B282" s="10"/>
      <c r="C282" s="10"/>
      <c r="D282" s="10"/>
      <c r="E282" s="10"/>
      <c r="F282" s="10">
        <f>IF(AND(D282&lt;&gt;"",E282&lt;&gt;""),((TIMEVALUE(E282)-TIMEVALUE(D282))*24*60),"")</f>
      </c>
      <c r="G282" s="10"/>
      <c r="H282" s="10"/>
      <c r="I282" s="10">
        <f>IF(G282="","Pending",IF(G282&gt;=J282,"Accepted",IF(G282&gt;=(J282-Configuration!$C$5),"Tolerance","Refusal")))</f>
      </c>
      <c r="J282" s="10">
        <f>IFERROR(VLOOKUP(B282,'Plot Plan'!$A:$D,4,FALSE),"")</f>
      </c>
      <c r="K282" s="10">
        <f>IFERROR(VLOOKUP(B282,'Plot Plan'!$A:$B,2,FALSE),"")</f>
      </c>
      <c r="L282" s="10">
        <f>IFERROR(VLOOKUP(B282,'Plot Plan'!$A:$C,3,FALSE),"")</f>
      </c>
    </row>
    <row r="283" spans="1:12" x14ac:dyDescent="0.25">
      <c r="A283" s="13"/>
      <c r="B283" s="11"/>
      <c r="C283" s="11"/>
      <c r="D283" s="11"/>
      <c r="E283" s="11"/>
      <c r="F283" s="11">
        <f>IF(AND(D283&lt;&gt;"",E283&lt;&gt;""),((TIMEVALUE(E283)-TIMEVALUE(D283))*24*60),"")</f>
      </c>
      <c r="G283" s="11"/>
      <c r="H283" s="11"/>
      <c r="I283" s="11">
        <f>IF(G283="","Pending",IF(G283&gt;=J283,"Accepted",IF(G283&gt;=(J283-Configuration!$C$5),"Tolerance","Refusal")))</f>
      </c>
      <c r="J283" s="11">
        <f>IFERROR(VLOOKUP(B283,'Plot Plan'!$A:$D,4,FALSE),"")</f>
      </c>
      <c r="K283" s="11">
        <f>IFERROR(VLOOKUP(B283,'Plot Plan'!$A:$B,2,FALSE),"")</f>
      </c>
      <c r="L283" s="11">
        <f>IFERROR(VLOOKUP(B283,'Plot Plan'!$A:$C,3,FALSE),"")</f>
      </c>
    </row>
    <row r="284" spans="1:12" s="8" customFormat="1" x14ac:dyDescent="0.25">
      <c r="A284" s="12"/>
      <c r="B284" s="10"/>
      <c r="C284" s="10"/>
      <c r="D284" s="10"/>
      <c r="E284" s="10"/>
      <c r="F284" s="10">
        <f>IF(AND(D284&lt;&gt;"",E284&lt;&gt;""),((TIMEVALUE(E284)-TIMEVALUE(D284))*24*60),"")</f>
      </c>
      <c r="G284" s="10"/>
      <c r="H284" s="10"/>
      <c r="I284" s="10">
        <f>IF(G284="","Pending",IF(G284&gt;=J284,"Accepted",IF(G284&gt;=(J284-Configuration!$C$5),"Tolerance","Refusal")))</f>
      </c>
      <c r="J284" s="10">
        <f>IFERROR(VLOOKUP(B284,'Plot Plan'!$A:$D,4,FALSE),"")</f>
      </c>
      <c r="K284" s="10">
        <f>IFERROR(VLOOKUP(B284,'Plot Plan'!$A:$B,2,FALSE),"")</f>
      </c>
      <c r="L284" s="10">
        <f>IFERROR(VLOOKUP(B284,'Plot Plan'!$A:$C,3,FALSE),"")</f>
      </c>
    </row>
    <row r="285" spans="1:12" x14ac:dyDescent="0.25">
      <c r="A285" s="13"/>
      <c r="B285" s="11"/>
      <c r="C285" s="11"/>
      <c r="D285" s="11"/>
      <c r="E285" s="11"/>
      <c r="F285" s="11">
        <f>IF(AND(D285&lt;&gt;"",E285&lt;&gt;""),((TIMEVALUE(E285)-TIMEVALUE(D285))*24*60),"")</f>
      </c>
      <c r="G285" s="11"/>
      <c r="H285" s="11"/>
      <c r="I285" s="11">
        <f>IF(G285="","Pending",IF(G285&gt;=J285,"Accepted",IF(G285&gt;=(J285-Configuration!$C$5),"Tolerance","Refusal")))</f>
      </c>
      <c r="J285" s="11">
        <f>IFERROR(VLOOKUP(B285,'Plot Plan'!$A:$D,4,FALSE),"")</f>
      </c>
      <c r="K285" s="11">
        <f>IFERROR(VLOOKUP(B285,'Plot Plan'!$A:$B,2,FALSE),"")</f>
      </c>
      <c r="L285" s="11">
        <f>IFERROR(VLOOKUP(B285,'Plot Plan'!$A:$C,3,FALSE),"")</f>
      </c>
    </row>
    <row r="286" spans="1:12" s="8" customFormat="1" x14ac:dyDescent="0.25">
      <c r="A286" s="12"/>
      <c r="B286" s="10"/>
      <c r="C286" s="10"/>
      <c r="D286" s="10"/>
      <c r="E286" s="10"/>
      <c r="F286" s="10">
        <f>IF(AND(D286&lt;&gt;"",E286&lt;&gt;""),((TIMEVALUE(E286)-TIMEVALUE(D286))*24*60),"")</f>
      </c>
      <c r="G286" s="10"/>
      <c r="H286" s="10"/>
      <c r="I286" s="10">
        <f>IF(G286="","Pending",IF(G286&gt;=J286,"Accepted",IF(G286&gt;=(J286-Configuration!$C$5),"Tolerance","Refusal")))</f>
      </c>
      <c r="J286" s="10">
        <f>IFERROR(VLOOKUP(B286,'Plot Plan'!$A:$D,4,FALSE),"")</f>
      </c>
      <c r="K286" s="10">
        <f>IFERROR(VLOOKUP(B286,'Plot Plan'!$A:$B,2,FALSE),"")</f>
      </c>
      <c r="L286" s="10">
        <f>IFERROR(VLOOKUP(B286,'Plot Plan'!$A:$C,3,FALSE),"")</f>
      </c>
    </row>
    <row r="287" spans="1:12" x14ac:dyDescent="0.25">
      <c r="A287" s="13"/>
      <c r="B287" s="11"/>
      <c r="C287" s="11"/>
      <c r="D287" s="11"/>
      <c r="E287" s="11"/>
      <c r="F287" s="11">
        <f>IF(AND(D287&lt;&gt;"",E287&lt;&gt;""),((TIMEVALUE(E287)-TIMEVALUE(D287))*24*60),"")</f>
      </c>
      <c r="G287" s="11"/>
      <c r="H287" s="11"/>
      <c r="I287" s="11">
        <f>IF(G287="","Pending",IF(G287&gt;=J287,"Accepted",IF(G287&gt;=(J287-Configuration!$C$5),"Tolerance","Refusal")))</f>
      </c>
      <c r="J287" s="11">
        <f>IFERROR(VLOOKUP(B287,'Plot Plan'!$A:$D,4,FALSE),"")</f>
      </c>
      <c r="K287" s="11">
        <f>IFERROR(VLOOKUP(B287,'Plot Plan'!$A:$B,2,FALSE),"")</f>
      </c>
      <c r="L287" s="11">
        <f>IFERROR(VLOOKUP(B287,'Plot Plan'!$A:$C,3,FALSE),"")</f>
      </c>
    </row>
    <row r="288" spans="1:12" s="8" customFormat="1" x14ac:dyDescent="0.25">
      <c r="A288" s="12"/>
      <c r="B288" s="10"/>
      <c r="C288" s="10"/>
      <c r="D288" s="10"/>
      <c r="E288" s="10"/>
      <c r="F288" s="10">
        <f>IF(AND(D288&lt;&gt;"",E288&lt;&gt;""),((TIMEVALUE(E288)-TIMEVALUE(D288))*24*60),"")</f>
      </c>
      <c r="G288" s="10"/>
      <c r="H288" s="10"/>
      <c r="I288" s="10">
        <f>IF(G288="","Pending",IF(G288&gt;=J288,"Accepted",IF(G288&gt;=(J288-Configuration!$C$5),"Tolerance","Refusal")))</f>
      </c>
      <c r="J288" s="10">
        <f>IFERROR(VLOOKUP(B288,'Plot Plan'!$A:$D,4,FALSE),"")</f>
      </c>
      <c r="K288" s="10">
        <f>IFERROR(VLOOKUP(B288,'Plot Plan'!$A:$B,2,FALSE),"")</f>
      </c>
      <c r="L288" s="10">
        <f>IFERROR(VLOOKUP(B288,'Plot Plan'!$A:$C,3,FALSE),"")</f>
      </c>
    </row>
    <row r="289" spans="1:12" x14ac:dyDescent="0.25">
      <c r="A289" s="13"/>
      <c r="B289" s="11"/>
      <c r="C289" s="11"/>
      <c r="D289" s="11"/>
      <c r="E289" s="11"/>
      <c r="F289" s="11">
        <f>IF(AND(D289&lt;&gt;"",E289&lt;&gt;""),((TIMEVALUE(E289)-TIMEVALUE(D289))*24*60),"")</f>
      </c>
      <c r="G289" s="11"/>
      <c r="H289" s="11"/>
      <c r="I289" s="11">
        <f>IF(G289="","Pending",IF(G289&gt;=J289,"Accepted",IF(G289&gt;=(J289-Configuration!$C$5),"Tolerance","Refusal")))</f>
      </c>
      <c r="J289" s="11">
        <f>IFERROR(VLOOKUP(B289,'Plot Plan'!$A:$D,4,FALSE),"")</f>
      </c>
      <c r="K289" s="11">
        <f>IFERROR(VLOOKUP(B289,'Plot Plan'!$A:$B,2,FALSE),"")</f>
      </c>
      <c r="L289" s="11">
        <f>IFERROR(VLOOKUP(B289,'Plot Plan'!$A:$C,3,FALSE),"")</f>
      </c>
    </row>
    <row r="290" spans="1:12" s="8" customFormat="1" x14ac:dyDescent="0.25">
      <c r="A290" s="12"/>
      <c r="B290" s="10"/>
      <c r="C290" s="10"/>
      <c r="D290" s="10"/>
      <c r="E290" s="10"/>
      <c r="F290" s="10">
        <f>IF(AND(D290&lt;&gt;"",E290&lt;&gt;""),((TIMEVALUE(E290)-TIMEVALUE(D290))*24*60),"")</f>
      </c>
      <c r="G290" s="10"/>
      <c r="H290" s="10"/>
      <c r="I290" s="10">
        <f>IF(G290="","Pending",IF(G290&gt;=J290,"Accepted",IF(G290&gt;=(J290-Configuration!$C$5),"Tolerance","Refusal")))</f>
      </c>
      <c r="J290" s="10">
        <f>IFERROR(VLOOKUP(B290,'Plot Plan'!$A:$D,4,FALSE),"")</f>
      </c>
      <c r="K290" s="10">
        <f>IFERROR(VLOOKUP(B290,'Plot Plan'!$A:$B,2,FALSE),"")</f>
      </c>
      <c r="L290" s="10">
        <f>IFERROR(VLOOKUP(B290,'Plot Plan'!$A:$C,3,FALSE),"")</f>
      </c>
    </row>
    <row r="291" spans="1:12" x14ac:dyDescent="0.25">
      <c r="A291" s="13"/>
      <c r="B291" s="11"/>
      <c r="C291" s="11"/>
      <c r="D291" s="11"/>
      <c r="E291" s="11"/>
      <c r="F291" s="11">
        <f>IF(AND(D291&lt;&gt;"",E291&lt;&gt;""),((TIMEVALUE(E291)-TIMEVALUE(D291))*24*60),"")</f>
      </c>
      <c r="G291" s="11"/>
      <c r="H291" s="11"/>
      <c r="I291" s="11">
        <f>IF(G291="","Pending",IF(G291&gt;=J291,"Accepted",IF(G291&gt;=(J291-Configuration!$C$5),"Tolerance","Refusal")))</f>
      </c>
      <c r="J291" s="11">
        <f>IFERROR(VLOOKUP(B291,'Plot Plan'!$A:$D,4,FALSE),"")</f>
      </c>
      <c r="K291" s="11">
        <f>IFERROR(VLOOKUP(B291,'Plot Plan'!$A:$B,2,FALSE),"")</f>
      </c>
      <c r="L291" s="11">
        <f>IFERROR(VLOOKUP(B291,'Plot Plan'!$A:$C,3,FALSE),"")</f>
      </c>
    </row>
    <row r="292" spans="1:12" s="8" customFormat="1" x14ac:dyDescent="0.25">
      <c r="A292" s="12"/>
      <c r="B292" s="10"/>
      <c r="C292" s="10"/>
      <c r="D292" s="10"/>
      <c r="E292" s="10"/>
      <c r="F292" s="10">
        <f>IF(AND(D292&lt;&gt;"",E292&lt;&gt;""),((TIMEVALUE(E292)-TIMEVALUE(D292))*24*60),"")</f>
      </c>
      <c r="G292" s="10"/>
      <c r="H292" s="10"/>
      <c r="I292" s="10">
        <f>IF(G292="","Pending",IF(G292&gt;=J292,"Accepted",IF(G292&gt;=(J292-Configuration!$C$5),"Tolerance","Refusal")))</f>
      </c>
      <c r="J292" s="10">
        <f>IFERROR(VLOOKUP(B292,'Plot Plan'!$A:$D,4,FALSE),"")</f>
      </c>
      <c r="K292" s="10">
        <f>IFERROR(VLOOKUP(B292,'Plot Plan'!$A:$B,2,FALSE),"")</f>
      </c>
      <c r="L292" s="10">
        <f>IFERROR(VLOOKUP(B292,'Plot Plan'!$A:$C,3,FALSE),"")</f>
      </c>
    </row>
    <row r="293" spans="1:12" x14ac:dyDescent="0.25">
      <c r="A293" s="13"/>
      <c r="B293" s="11"/>
      <c r="C293" s="11"/>
      <c r="D293" s="11"/>
      <c r="E293" s="11"/>
      <c r="F293" s="11">
        <f>IF(AND(D293&lt;&gt;"",E293&lt;&gt;""),((TIMEVALUE(E293)-TIMEVALUE(D293))*24*60),"")</f>
      </c>
      <c r="G293" s="11"/>
      <c r="H293" s="11"/>
      <c r="I293" s="11">
        <f>IF(G293="","Pending",IF(G293&gt;=J293,"Accepted",IF(G293&gt;=(J293-Configuration!$C$5),"Tolerance","Refusal")))</f>
      </c>
      <c r="J293" s="11">
        <f>IFERROR(VLOOKUP(B293,'Plot Plan'!$A:$D,4,FALSE),"")</f>
      </c>
      <c r="K293" s="11">
        <f>IFERROR(VLOOKUP(B293,'Plot Plan'!$A:$B,2,FALSE),"")</f>
      </c>
      <c r="L293" s="11">
        <f>IFERROR(VLOOKUP(B293,'Plot Plan'!$A:$C,3,FALSE),"")</f>
      </c>
    </row>
    <row r="294" spans="1:12" s="8" customFormat="1" x14ac:dyDescent="0.25">
      <c r="A294" s="12"/>
      <c r="B294" s="10"/>
      <c r="C294" s="10"/>
      <c r="D294" s="10"/>
      <c r="E294" s="10"/>
      <c r="F294" s="10">
        <f>IF(AND(D294&lt;&gt;"",E294&lt;&gt;""),((TIMEVALUE(E294)-TIMEVALUE(D294))*24*60),"")</f>
      </c>
      <c r="G294" s="10"/>
      <c r="H294" s="10"/>
      <c r="I294" s="10">
        <f>IF(G294="","Pending",IF(G294&gt;=J294,"Accepted",IF(G294&gt;=(J294-Configuration!$C$5),"Tolerance","Refusal")))</f>
      </c>
      <c r="J294" s="10">
        <f>IFERROR(VLOOKUP(B294,'Plot Plan'!$A:$D,4,FALSE),"")</f>
      </c>
      <c r="K294" s="10">
        <f>IFERROR(VLOOKUP(B294,'Plot Plan'!$A:$B,2,FALSE),"")</f>
      </c>
      <c r="L294" s="10">
        <f>IFERROR(VLOOKUP(B294,'Plot Plan'!$A:$C,3,FALSE),"")</f>
      </c>
    </row>
    <row r="295" spans="1:12" x14ac:dyDescent="0.25">
      <c r="A295" s="13"/>
      <c r="B295" s="11"/>
      <c r="C295" s="11"/>
      <c r="D295" s="11"/>
      <c r="E295" s="11"/>
      <c r="F295" s="11">
        <f>IF(AND(D295&lt;&gt;"",E295&lt;&gt;""),((TIMEVALUE(E295)-TIMEVALUE(D295))*24*60),"")</f>
      </c>
      <c r="G295" s="11"/>
      <c r="H295" s="11"/>
      <c r="I295" s="11">
        <f>IF(G295="","Pending",IF(G295&gt;=J295,"Accepted",IF(G295&gt;=(J295-Configuration!$C$5),"Tolerance","Refusal")))</f>
      </c>
      <c r="J295" s="11">
        <f>IFERROR(VLOOKUP(B295,'Plot Plan'!$A:$D,4,FALSE),"")</f>
      </c>
      <c r="K295" s="11">
        <f>IFERROR(VLOOKUP(B295,'Plot Plan'!$A:$B,2,FALSE),"")</f>
      </c>
      <c r="L295" s="11">
        <f>IFERROR(VLOOKUP(B295,'Plot Plan'!$A:$C,3,FALSE),"")</f>
      </c>
    </row>
    <row r="296" spans="1:12" s="8" customFormat="1" x14ac:dyDescent="0.25">
      <c r="A296" s="12"/>
      <c r="B296" s="10"/>
      <c r="C296" s="10"/>
      <c r="D296" s="10"/>
      <c r="E296" s="10"/>
      <c r="F296" s="10">
        <f>IF(AND(D296&lt;&gt;"",E296&lt;&gt;""),((TIMEVALUE(E296)-TIMEVALUE(D296))*24*60),"")</f>
      </c>
      <c r="G296" s="10"/>
      <c r="H296" s="10"/>
      <c r="I296" s="10">
        <f>IF(G296="","Pending",IF(G296&gt;=J296,"Accepted",IF(G296&gt;=(J296-Configuration!$C$5),"Tolerance","Refusal")))</f>
      </c>
      <c r="J296" s="10">
        <f>IFERROR(VLOOKUP(B296,'Plot Plan'!$A:$D,4,FALSE),"")</f>
      </c>
      <c r="K296" s="10">
        <f>IFERROR(VLOOKUP(B296,'Plot Plan'!$A:$B,2,FALSE),"")</f>
      </c>
      <c r="L296" s="10">
        <f>IFERROR(VLOOKUP(B296,'Plot Plan'!$A:$C,3,FALSE),"")</f>
      </c>
    </row>
    <row r="297" spans="1:12" x14ac:dyDescent="0.25">
      <c r="A297" s="13"/>
      <c r="B297" s="11"/>
      <c r="C297" s="11"/>
      <c r="D297" s="11"/>
      <c r="E297" s="11"/>
      <c r="F297" s="11">
        <f>IF(AND(D297&lt;&gt;"",E297&lt;&gt;""),((TIMEVALUE(E297)-TIMEVALUE(D297))*24*60),"")</f>
      </c>
      <c r="G297" s="11"/>
      <c r="H297" s="11"/>
      <c r="I297" s="11">
        <f>IF(G297="","Pending",IF(G297&gt;=J297,"Accepted",IF(G297&gt;=(J297-Configuration!$C$5),"Tolerance","Refusal")))</f>
      </c>
      <c r="J297" s="11">
        <f>IFERROR(VLOOKUP(B297,'Plot Plan'!$A:$D,4,FALSE),"")</f>
      </c>
      <c r="K297" s="11">
        <f>IFERROR(VLOOKUP(B297,'Plot Plan'!$A:$B,2,FALSE),"")</f>
      </c>
      <c r="L297" s="11">
        <f>IFERROR(VLOOKUP(B297,'Plot Plan'!$A:$C,3,FALSE),"")</f>
      </c>
    </row>
    <row r="298" spans="1:12" s="8" customFormat="1" x14ac:dyDescent="0.25">
      <c r="A298" s="12"/>
      <c r="B298" s="10"/>
      <c r="C298" s="10"/>
      <c r="D298" s="10"/>
      <c r="E298" s="10"/>
      <c r="F298" s="10">
        <f>IF(AND(D298&lt;&gt;"",E298&lt;&gt;""),((TIMEVALUE(E298)-TIMEVALUE(D298))*24*60),"")</f>
      </c>
      <c r="G298" s="10"/>
      <c r="H298" s="10"/>
      <c r="I298" s="10">
        <f>IF(G298="","Pending",IF(G298&gt;=J298,"Accepted",IF(G298&gt;=(J298-Configuration!$C$5),"Tolerance","Refusal")))</f>
      </c>
      <c r="J298" s="10">
        <f>IFERROR(VLOOKUP(B298,'Plot Plan'!$A:$D,4,FALSE),"")</f>
      </c>
      <c r="K298" s="10">
        <f>IFERROR(VLOOKUP(B298,'Plot Plan'!$A:$B,2,FALSE),"")</f>
      </c>
      <c r="L298" s="10">
        <f>IFERROR(VLOOKUP(B298,'Plot Plan'!$A:$C,3,FALSE),"")</f>
      </c>
    </row>
    <row r="299" spans="1:12" x14ac:dyDescent="0.25">
      <c r="A299" s="13"/>
      <c r="B299" s="11"/>
      <c r="C299" s="11"/>
      <c r="D299" s="11"/>
      <c r="E299" s="11"/>
      <c r="F299" s="11">
        <f>IF(AND(D299&lt;&gt;"",E299&lt;&gt;""),((TIMEVALUE(E299)-TIMEVALUE(D299))*24*60),"")</f>
      </c>
      <c r="G299" s="11"/>
      <c r="H299" s="11"/>
      <c r="I299" s="11">
        <f>IF(G299="","Pending",IF(G299&gt;=J299,"Accepted",IF(G299&gt;=(J299-Configuration!$C$5),"Tolerance","Refusal")))</f>
      </c>
      <c r="J299" s="11">
        <f>IFERROR(VLOOKUP(B299,'Plot Plan'!$A:$D,4,FALSE),"")</f>
      </c>
      <c r="K299" s="11">
        <f>IFERROR(VLOOKUP(B299,'Plot Plan'!$A:$B,2,FALSE),"")</f>
      </c>
      <c r="L299" s="11">
        <f>IFERROR(VLOOKUP(B299,'Plot Plan'!$A:$C,3,FALSE),"")</f>
      </c>
    </row>
    <row r="300" spans="1:12" s="8" customFormat="1" x14ac:dyDescent="0.25">
      <c r="A300" s="12"/>
      <c r="B300" s="10"/>
      <c r="C300" s="10"/>
      <c r="D300" s="10"/>
      <c r="E300" s="10"/>
      <c r="F300" s="10">
        <f>IF(AND(D300&lt;&gt;"",E300&lt;&gt;""),((TIMEVALUE(E300)-TIMEVALUE(D300))*24*60),"")</f>
      </c>
      <c r="G300" s="10"/>
      <c r="H300" s="10"/>
      <c r="I300" s="10">
        <f>IF(G300="","Pending",IF(G300&gt;=J300,"Accepted",IF(G300&gt;=(J300-Configuration!$C$5),"Tolerance","Refusal")))</f>
      </c>
      <c r="J300" s="10">
        <f>IFERROR(VLOOKUP(B300,'Plot Plan'!$A:$D,4,FALSE),"")</f>
      </c>
      <c r="K300" s="10">
        <f>IFERROR(VLOOKUP(B300,'Plot Plan'!$A:$B,2,FALSE),"")</f>
      </c>
      <c r="L300" s="10">
        <f>IFERROR(VLOOKUP(B300,'Plot Plan'!$A:$C,3,FALSE),"")</f>
      </c>
    </row>
    <row r="301" spans="1:12" x14ac:dyDescent="0.25">
      <c r="A301" s="13"/>
      <c r="B301" s="11"/>
      <c r="C301" s="11"/>
      <c r="D301" s="11"/>
      <c r="E301" s="11"/>
      <c r="F301" s="11">
        <f>IF(AND(D301&lt;&gt;"",E301&lt;&gt;""),((TIMEVALUE(E301)-TIMEVALUE(D301))*24*60),"")</f>
      </c>
      <c r="G301" s="11"/>
      <c r="H301" s="11"/>
      <c r="I301" s="11">
        <f>IF(G301="","Pending",IF(G301&gt;=J301,"Accepted",IF(G301&gt;=(J301-Configuration!$C$5),"Tolerance","Refusal")))</f>
      </c>
      <c r="J301" s="11">
        <f>IFERROR(VLOOKUP(B301,'Plot Plan'!$A:$D,4,FALSE),"")</f>
      </c>
      <c r="K301" s="11">
        <f>IFERROR(VLOOKUP(B301,'Plot Plan'!$A:$B,2,FALSE),"")</f>
      </c>
      <c r="L301" s="11">
        <f>IFERROR(VLOOKUP(B301,'Plot Plan'!$A:$C,3,FALSE),"")</f>
      </c>
    </row>
    <row r="302" spans="1:12" s="8" customFormat="1" x14ac:dyDescent="0.25">
      <c r="A302" s="12"/>
      <c r="B302" s="10"/>
      <c r="C302" s="10"/>
      <c r="D302" s="10"/>
      <c r="E302" s="10"/>
      <c r="F302" s="10">
        <f>IF(AND(D302&lt;&gt;"",E302&lt;&gt;""),((TIMEVALUE(E302)-TIMEVALUE(D302))*24*60),"")</f>
      </c>
      <c r="G302" s="10"/>
      <c r="H302" s="10"/>
      <c r="I302" s="10">
        <f>IF(G302="","Pending",IF(G302&gt;=J302,"Accepted",IF(G302&gt;=(J302-Configuration!$C$5),"Tolerance","Refusal")))</f>
      </c>
      <c r="J302" s="10">
        <f>IFERROR(VLOOKUP(B302,'Plot Plan'!$A:$D,4,FALSE),"")</f>
      </c>
      <c r="K302" s="10">
        <f>IFERROR(VLOOKUP(B302,'Plot Plan'!$A:$B,2,FALSE),"")</f>
      </c>
      <c r="L302" s="10">
        <f>IFERROR(VLOOKUP(B302,'Plot Plan'!$A:$C,3,FALSE),"")</f>
      </c>
    </row>
    <row r="303" spans="1:12" x14ac:dyDescent="0.25">
      <c r="A303" s="13"/>
      <c r="B303" s="11"/>
      <c r="C303" s="11"/>
      <c r="D303" s="11"/>
      <c r="E303" s="11"/>
      <c r="F303" s="11">
        <f>IF(AND(D303&lt;&gt;"",E303&lt;&gt;""),((TIMEVALUE(E303)-TIMEVALUE(D303))*24*60),"")</f>
      </c>
      <c r="G303" s="11"/>
      <c r="H303" s="11"/>
      <c r="I303" s="11">
        <f>IF(G303="","Pending",IF(G303&gt;=J303,"Accepted",IF(G303&gt;=(J303-Configuration!$C$5),"Tolerance","Refusal")))</f>
      </c>
      <c r="J303" s="11">
        <f>IFERROR(VLOOKUP(B303,'Plot Plan'!$A:$D,4,FALSE),"")</f>
      </c>
      <c r="K303" s="11">
        <f>IFERROR(VLOOKUP(B303,'Plot Plan'!$A:$B,2,FALSE),"")</f>
      </c>
      <c r="L303" s="11">
        <f>IFERROR(VLOOKUP(B303,'Plot Plan'!$A:$C,3,FALSE),"")</f>
      </c>
    </row>
    <row r="304" spans="1:12" s="8" customFormat="1" x14ac:dyDescent="0.25">
      <c r="A304" s="12"/>
      <c r="B304" s="10"/>
      <c r="C304" s="10"/>
      <c r="D304" s="10"/>
      <c r="E304" s="10"/>
      <c r="F304" s="10">
        <f>IF(AND(D304&lt;&gt;"",E304&lt;&gt;""),((TIMEVALUE(E304)-TIMEVALUE(D304))*24*60),"")</f>
      </c>
      <c r="G304" s="10"/>
      <c r="H304" s="10"/>
      <c r="I304" s="10">
        <f>IF(G304="","Pending",IF(G304&gt;=J304,"Accepted",IF(G304&gt;=(J304-Configuration!$C$5),"Tolerance","Refusal")))</f>
      </c>
      <c r="J304" s="10">
        <f>IFERROR(VLOOKUP(B304,'Plot Plan'!$A:$D,4,FALSE),"")</f>
      </c>
      <c r="K304" s="10">
        <f>IFERROR(VLOOKUP(B304,'Plot Plan'!$A:$B,2,FALSE),"")</f>
      </c>
      <c r="L304" s="10">
        <f>IFERROR(VLOOKUP(B304,'Plot Plan'!$A:$C,3,FALSE),"")</f>
      </c>
    </row>
    <row r="305" spans="1:12" x14ac:dyDescent="0.25">
      <c r="A305" s="13"/>
      <c r="B305" s="11"/>
      <c r="C305" s="11"/>
      <c r="D305" s="11"/>
      <c r="E305" s="11"/>
      <c r="F305" s="11">
        <f>IF(AND(D305&lt;&gt;"",E305&lt;&gt;""),((TIMEVALUE(E305)-TIMEVALUE(D305))*24*60),"")</f>
      </c>
      <c r="G305" s="11"/>
      <c r="H305" s="11"/>
      <c r="I305" s="11">
        <f>IF(G305="","Pending",IF(G305&gt;=J305,"Accepted",IF(G305&gt;=(J305-Configuration!$C$5),"Tolerance","Refusal")))</f>
      </c>
      <c r="J305" s="11">
        <f>IFERROR(VLOOKUP(B305,'Plot Plan'!$A:$D,4,FALSE),"")</f>
      </c>
      <c r="K305" s="11">
        <f>IFERROR(VLOOKUP(B305,'Plot Plan'!$A:$B,2,FALSE),"")</f>
      </c>
      <c r="L305" s="11">
        <f>IFERROR(VLOOKUP(B305,'Plot Plan'!$A:$C,3,FALSE),"")</f>
      </c>
    </row>
    <row r="306" spans="1:12" s="8" customFormat="1" x14ac:dyDescent="0.25">
      <c r="A306" s="12"/>
      <c r="B306" s="10"/>
      <c r="C306" s="10"/>
      <c r="D306" s="10"/>
      <c r="E306" s="10"/>
      <c r="F306" s="10">
        <f>IF(AND(D306&lt;&gt;"",E306&lt;&gt;""),((TIMEVALUE(E306)-TIMEVALUE(D306))*24*60),"")</f>
      </c>
      <c r="G306" s="10"/>
      <c r="H306" s="10"/>
      <c r="I306" s="10">
        <f>IF(G306="","Pending",IF(G306&gt;=J306,"Accepted",IF(G306&gt;=(J306-Configuration!$C$5),"Tolerance","Refusal")))</f>
      </c>
      <c r="J306" s="10">
        <f>IFERROR(VLOOKUP(B306,'Plot Plan'!$A:$D,4,FALSE),"")</f>
      </c>
      <c r="K306" s="10">
        <f>IFERROR(VLOOKUP(B306,'Plot Plan'!$A:$B,2,FALSE),"")</f>
      </c>
      <c r="L306" s="10">
        <f>IFERROR(VLOOKUP(B306,'Plot Plan'!$A:$C,3,FALSE),"")</f>
      </c>
    </row>
    <row r="307" spans="1:12" x14ac:dyDescent="0.25">
      <c r="A307" s="13"/>
      <c r="B307" s="11"/>
      <c r="C307" s="11"/>
      <c r="D307" s="11"/>
      <c r="E307" s="11"/>
      <c r="F307" s="11">
        <f>IF(AND(D307&lt;&gt;"",E307&lt;&gt;""),((TIMEVALUE(E307)-TIMEVALUE(D307))*24*60),"")</f>
      </c>
      <c r="G307" s="11"/>
      <c r="H307" s="11"/>
      <c r="I307" s="11">
        <f>IF(G307="","Pending",IF(G307&gt;=J307,"Accepted",IF(G307&gt;=(J307-Configuration!$C$5),"Tolerance","Refusal")))</f>
      </c>
      <c r="J307" s="11">
        <f>IFERROR(VLOOKUP(B307,'Plot Plan'!$A:$D,4,FALSE),"")</f>
      </c>
      <c r="K307" s="11">
        <f>IFERROR(VLOOKUP(B307,'Plot Plan'!$A:$B,2,FALSE),"")</f>
      </c>
      <c r="L307" s="11">
        <f>IFERROR(VLOOKUP(B307,'Plot Plan'!$A:$C,3,FALSE),"")</f>
      </c>
    </row>
    <row r="308" spans="1:12" s="8" customFormat="1" x14ac:dyDescent="0.25">
      <c r="A308" s="12"/>
      <c r="B308" s="10"/>
      <c r="C308" s="10"/>
      <c r="D308" s="10"/>
      <c r="E308" s="10"/>
      <c r="F308" s="10">
        <f>IF(AND(D308&lt;&gt;"",E308&lt;&gt;""),((TIMEVALUE(E308)-TIMEVALUE(D308))*24*60),"")</f>
      </c>
      <c r="G308" s="10"/>
      <c r="H308" s="10"/>
      <c r="I308" s="10">
        <f>IF(G308="","Pending",IF(G308&gt;=J308,"Accepted",IF(G308&gt;=(J308-Configuration!$C$5),"Tolerance","Refusal")))</f>
      </c>
      <c r="J308" s="10">
        <f>IFERROR(VLOOKUP(B308,'Plot Plan'!$A:$D,4,FALSE),"")</f>
      </c>
      <c r="K308" s="10">
        <f>IFERROR(VLOOKUP(B308,'Plot Plan'!$A:$B,2,FALSE),"")</f>
      </c>
      <c r="L308" s="10">
        <f>IFERROR(VLOOKUP(B308,'Plot Plan'!$A:$C,3,FALSE),"")</f>
      </c>
    </row>
    <row r="309" spans="1:12" x14ac:dyDescent="0.25">
      <c r="A309" s="13"/>
      <c r="B309" s="11"/>
      <c r="C309" s="11"/>
      <c r="D309" s="11"/>
      <c r="E309" s="11"/>
      <c r="F309" s="11">
        <f>IF(AND(D309&lt;&gt;"",E309&lt;&gt;""),((TIMEVALUE(E309)-TIMEVALUE(D309))*24*60),"")</f>
      </c>
      <c r="G309" s="11"/>
      <c r="H309" s="11"/>
      <c r="I309" s="11">
        <f>IF(G309="","Pending",IF(G309&gt;=J309,"Accepted",IF(G309&gt;=(J309-Configuration!$C$5),"Tolerance","Refusal")))</f>
      </c>
      <c r="J309" s="11">
        <f>IFERROR(VLOOKUP(B309,'Plot Plan'!$A:$D,4,FALSE),"")</f>
      </c>
      <c r="K309" s="11">
        <f>IFERROR(VLOOKUP(B309,'Plot Plan'!$A:$B,2,FALSE),"")</f>
      </c>
      <c r="L309" s="11">
        <f>IFERROR(VLOOKUP(B309,'Plot Plan'!$A:$C,3,FALSE),"")</f>
      </c>
    </row>
    <row r="310" spans="1:12" s="8" customFormat="1" x14ac:dyDescent="0.25">
      <c r="A310" s="12"/>
      <c r="B310" s="10"/>
      <c r="C310" s="10"/>
      <c r="D310" s="10"/>
      <c r="E310" s="10"/>
      <c r="F310" s="10">
        <f>IF(AND(D310&lt;&gt;"",E310&lt;&gt;""),((TIMEVALUE(E310)-TIMEVALUE(D310))*24*60),"")</f>
      </c>
      <c r="G310" s="10"/>
      <c r="H310" s="10"/>
      <c r="I310" s="10">
        <f>IF(G310="","Pending",IF(G310&gt;=J310,"Accepted",IF(G310&gt;=(J310-Configuration!$C$5),"Tolerance","Refusal")))</f>
      </c>
      <c r="J310" s="10">
        <f>IFERROR(VLOOKUP(B310,'Plot Plan'!$A:$D,4,FALSE),"")</f>
      </c>
      <c r="K310" s="10">
        <f>IFERROR(VLOOKUP(B310,'Plot Plan'!$A:$B,2,FALSE),"")</f>
      </c>
      <c r="L310" s="10">
        <f>IFERROR(VLOOKUP(B310,'Plot Plan'!$A:$C,3,FALSE),"")</f>
      </c>
    </row>
    <row r="311" spans="1:12" x14ac:dyDescent="0.25">
      <c r="A311" s="13"/>
      <c r="B311" s="11"/>
      <c r="C311" s="11"/>
      <c r="D311" s="11"/>
      <c r="E311" s="11"/>
      <c r="F311" s="11">
        <f>IF(AND(D311&lt;&gt;"",E311&lt;&gt;""),((TIMEVALUE(E311)-TIMEVALUE(D311))*24*60),"")</f>
      </c>
      <c r="G311" s="11"/>
      <c r="H311" s="11"/>
      <c r="I311" s="11">
        <f>IF(G311="","Pending",IF(G311&gt;=J311,"Accepted",IF(G311&gt;=(J311-Configuration!$C$5),"Tolerance","Refusal")))</f>
      </c>
      <c r="J311" s="11">
        <f>IFERROR(VLOOKUP(B311,'Plot Plan'!$A:$D,4,FALSE),"")</f>
      </c>
      <c r="K311" s="11">
        <f>IFERROR(VLOOKUP(B311,'Plot Plan'!$A:$B,2,FALSE),"")</f>
      </c>
      <c r="L311" s="11">
        <f>IFERROR(VLOOKUP(B311,'Plot Plan'!$A:$C,3,FALSE),"")</f>
      </c>
    </row>
    <row r="312" spans="1:12" s="8" customFormat="1" x14ac:dyDescent="0.25">
      <c r="A312" s="12"/>
      <c r="B312" s="10"/>
      <c r="C312" s="10"/>
      <c r="D312" s="10"/>
      <c r="E312" s="10"/>
      <c r="F312" s="10">
        <f>IF(AND(D312&lt;&gt;"",E312&lt;&gt;""),((TIMEVALUE(E312)-TIMEVALUE(D312))*24*60),"")</f>
      </c>
      <c r="G312" s="10"/>
      <c r="H312" s="10"/>
      <c r="I312" s="10">
        <f>IF(G312="","Pending",IF(G312&gt;=J312,"Accepted",IF(G312&gt;=(J312-Configuration!$C$5),"Tolerance","Refusal")))</f>
      </c>
      <c r="J312" s="10">
        <f>IFERROR(VLOOKUP(B312,'Plot Plan'!$A:$D,4,FALSE),"")</f>
      </c>
      <c r="K312" s="10">
        <f>IFERROR(VLOOKUP(B312,'Plot Plan'!$A:$B,2,FALSE),"")</f>
      </c>
      <c r="L312" s="10">
        <f>IFERROR(VLOOKUP(B312,'Plot Plan'!$A:$C,3,FALSE),"")</f>
      </c>
    </row>
    <row r="313" spans="1:12" x14ac:dyDescent="0.25">
      <c r="A313" s="13"/>
      <c r="B313" s="11"/>
      <c r="C313" s="11"/>
      <c r="D313" s="11"/>
      <c r="E313" s="11"/>
      <c r="F313" s="11">
        <f>IF(AND(D313&lt;&gt;"",E313&lt;&gt;""),((TIMEVALUE(E313)-TIMEVALUE(D313))*24*60),"")</f>
      </c>
      <c r="G313" s="11"/>
      <c r="H313" s="11"/>
      <c r="I313" s="11">
        <f>IF(G313="","Pending",IF(G313&gt;=J313,"Accepted",IF(G313&gt;=(J313-Configuration!$C$5),"Tolerance","Refusal")))</f>
      </c>
      <c r="J313" s="11">
        <f>IFERROR(VLOOKUP(B313,'Plot Plan'!$A:$D,4,FALSE),"")</f>
      </c>
      <c r="K313" s="11">
        <f>IFERROR(VLOOKUP(B313,'Plot Plan'!$A:$B,2,FALSE),"")</f>
      </c>
      <c r="L313" s="11">
        <f>IFERROR(VLOOKUP(B313,'Plot Plan'!$A:$C,3,FALSE),"")</f>
      </c>
    </row>
    <row r="314" spans="1:12" s="8" customFormat="1" x14ac:dyDescent="0.25">
      <c r="A314" s="12"/>
      <c r="B314" s="10"/>
      <c r="C314" s="10"/>
      <c r="D314" s="10"/>
      <c r="E314" s="10"/>
      <c r="F314" s="10">
        <f>IF(AND(D314&lt;&gt;"",E314&lt;&gt;""),((TIMEVALUE(E314)-TIMEVALUE(D314))*24*60),"")</f>
      </c>
      <c r="G314" s="10"/>
      <c r="H314" s="10"/>
      <c r="I314" s="10">
        <f>IF(G314="","Pending",IF(G314&gt;=J314,"Accepted",IF(G314&gt;=(J314-Configuration!$C$5),"Tolerance","Refusal")))</f>
      </c>
      <c r="J314" s="10">
        <f>IFERROR(VLOOKUP(B314,'Plot Plan'!$A:$D,4,FALSE),"")</f>
      </c>
      <c r="K314" s="10">
        <f>IFERROR(VLOOKUP(B314,'Plot Plan'!$A:$B,2,FALSE),"")</f>
      </c>
      <c r="L314" s="10">
        <f>IFERROR(VLOOKUP(B314,'Plot Plan'!$A:$C,3,FALSE),"")</f>
      </c>
    </row>
    <row r="315" spans="1:12" x14ac:dyDescent="0.25">
      <c r="A315" s="13"/>
      <c r="B315" s="11"/>
      <c r="C315" s="11"/>
      <c r="D315" s="11"/>
      <c r="E315" s="11"/>
      <c r="F315" s="11">
        <f>IF(AND(D315&lt;&gt;"",E315&lt;&gt;""),((TIMEVALUE(E315)-TIMEVALUE(D315))*24*60),"")</f>
      </c>
      <c r="G315" s="11"/>
      <c r="H315" s="11"/>
      <c r="I315" s="11">
        <f>IF(G315="","Pending",IF(G315&gt;=J315,"Accepted",IF(G315&gt;=(J315-Configuration!$C$5),"Tolerance","Refusal")))</f>
      </c>
      <c r="J315" s="11">
        <f>IFERROR(VLOOKUP(B315,'Plot Plan'!$A:$D,4,FALSE),"")</f>
      </c>
      <c r="K315" s="11">
        <f>IFERROR(VLOOKUP(B315,'Plot Plan'!$A:$B,2,FALSE),"")</f>
      </c>
      <c r="L315" s="11">
        <f>IFERROR(VLOOKUP(B315,'Plot Plan'!$A:$C,3,FALSE),"")</f>
      </c>
    </row>
    <row r="316" spans="1:12" s="8" customFormat="1" x14ac:dyDescent="0.25">
      <c r="A316" s="12"/>
      <c r="B316" s="10"/>
      <c r="C316" s="10"/>
      <c r="D316" s="10"/>
      <c r="E316" s="10"/>
      <c r="F316" s="10">
        <f>IF(AND(D316&lt;&gt;"",E316&lt;&gt;""),((TIMEVALUE(E316)-TIMEVALUE(D316))*24*60),"")</f>
      </c>
      <c r="G316" s="10"/>
      <c r="H316" s="10"/>
      <c r="I316" s="10">
        <f>IF(G316="","Pending",IF(G316&gt;=J316,"Accepted",IF(G316&gt;=(J316-Configuration!$C$5),"Tolerance","Refusal")))</f>
      </c>
      <c r="J316" s="10">
        <f>IFERROR(VLOOKUP(B316,'Plot Plan'!$A:$D,4,FALSE),"")</f>
      </c>
      <c r="K316" s="10">
        <f>IFERROR(VLOOKUP(B316,'Plot Plan'!$A:$B,2,FALSE),"")</f>
      </c>
      <c r="L316" s="10">
        <f>IFERROR(VLOOKUP(B316,'Plot Plan'!$A:$C,3,FALSE),"")</f>
      </c>
    </row>
    <row r="317" spans="1:12" x14ac:dyDescent="0.25">
      <c r="A317" s="13"/>
      <c r="B317" s="11"/>
      <c r="C317" s="11"/>
      <c r="D317" s="11"/>
      <c r="E317" s="11"/>
      <c r="F317" s="11">
        <f>IF(AND(D317&lt;&gt;"",E317&lt;&gt;""),((TIMEVALUE(E317)-TIMEVALUE(D317))*24*60),"")</f>
      </c>
      <c r="G317" s="11"/>
      <c r="H317" s="11"/>
      <c r="I317" s="11">
        <f>IF(G317="","Pending",IF(G317&gt;=J317,"Accepted",IF(G317&gt;=(J317-Configuration!$C$5),"Tolerance","Refusal")))</f>
      </c>
      <c r="J317" s="11">
        <f>IFERROR(VLOOKUP(B317,'Plot Plan'!$A:$D,4,FALSE),"")</f>
      </c>
      <c r="K317" s="11">
        <f>IFERROR(VLOOKUP(B317,'Plot Plan'!$A:$B,2,FALSE),"")</f>
      </c>
      <c r="L317" s="11">
        <f>IFERROR(VLOOKUP(B317,'Plot Plan'!$A:$C,3,FALSE),"")</f>
      </c>
    </row>
    <row r="318" spans="1:12" s="8" customFormat="1" x14ac:dyDescent="0.25">
      <c r="A318" s="12"/>
      <c r="B318" s="10"/>
      <c r="C318" s="10"/>
      <c r="D318" s="10"/>
      <c r="E318" s="10"/>
      <c r="F318" s="10">
        <f>IF(AND(D318&lt;&gt;"",E318&lt;&gt;""),((TIMEVALUE(E318)-TIMEVALUE(D318))*24*60),"")</f>
      </c>
      <c r="G318" s="10"/>
      <c r="H318" s="10"/>
      <c r="I318" s="10">
        <f>IF(G318="","Pending",IF(G318&gt;=J318,"Accepted",IF(G318&gt;=(J318-Configuration!$C$5),"Tolerance","Refusal")))</f>
      </c>
      <c r="J318" s="10">
        <f>IFERROR(VLOOKUP(B318,'Plot Plan'!$A:$D,4,FALSE),"")</f>
      </c>
      <c r="K318" s="10">
        <f>IFERROR(VLOOKUP(B318,'Plot Plan'!$A:$B,2,FALSE),"")</f>
      </c>
      <c r="L318" s="10">
        <f>IFERROR(VLOOKUP(B318,'Plot Plan'!$A:$C,3,FALSE),"")</f>
      </c>
    </row>
    <row r="319" spans="1:12" x14ac:dyDescent="0.25">
      <c r="A319" s="13"/>
      <c r="B319" s="11"/>
      <c r="C319" s="11"/>
      <c r="D319" s="11"/>
      <c r="E319" s="11"/>
      <c r="F319" s="11">
        <f>IF(AND(D319&lt;&gt;"",E319&lt;&gt;""),((TIMEVALUE(E319)-TIMEVALUE(D319))*24*60),"")</f>
      </c>
      <c r="G319" s="11"/>
      <c r="H319" s="11"/>
      <c r="I319" s="11">
        <f>IF(G319="","Pending",IF(G319&gt;=J319,"Accepted",IF(G319&gt;=(J319-Configuration!$C$5),"Tolerance","Refusal")))</f>
      </c>
      <c r="J319" s="11">
        <f>IFERROR(VLOOKUP(B319,'Plot Plan'!$A:$D,4,FALSE),"")</f>
      </c>
      <c r="K319" s="11">
        <f>IFERROR(VLOOKUP(B319,'Plot Plan'!$A:$B,2,FALSE),"")</f>
      </c>
      <c r="L319" s="11">
        <f>IFERROR(VLOOKUP(B319,'Plot Plan'!$A:$C,3,FALSE),"")</f>
      </c>
    </row>
    <row r="320" spans="1:12" s="8" customFormat="1" x14ac:dyDescent="0.25">
      <c r="A320" s="12"/>
      <c r="B320" s="10"/>
      <c r="C320" s="10"/>
      <c r="D320" s="10"/>
      <c r="E320" s="10"/>
      <c r="F320" s="10">
        <f>IF(AND(D320&lt;&gt;"",E320&lt;&gt;""),((TIMEVALUE(E320)-TIMEVALUE(D320))*24*60),"")</f>
      </c>
      <c r="G320" s="10"/>
      <c r="H320" s="10"/>
      <c r="I320" s="10">
        <f>IF(G320="","Pending",IF(G320&gt;=J320,"Accepted",IF(G320&gt;=(J320-Configuration!$C$5),"Tolerance","Refusal")))</f>
      </c>
      <c r="J320" s="10">
        <f>IFERROR(VLOOKUP(B320,'Plot Plan'!$A:$D,4,FALSE),"")</f>
      </c>
      <c r="K320" s="10">
        <f>IFERROR(VLOOKUP(B320,'Plot Plan'!$A:$B,2,FALSE),"")</f>
      </c>
      <c r="L320" s="10">
        <f>IFERROR(VLOOKUP(B320,'Plot Plan'!$A:$C,3,FALSE),"")</f>
      </c>
    </row>
    <row r="321" spans="1:12" x14ac:dyDescent="0.25">
      <c r="A321" s="13"/>
      <c r="B321" s="11"/>
      <c r="C321" s="11"/>
      <c r="D321" s="11"/>
      <c r="E321" s="11"/>
      <c r="F321" s="11">
        <f>IF(AND(D321&lt;&gt;"",E321&lt;&gt;""),((TIMEVALUE(E321)-TIMEVALUE(D321))*24*60),"")</f>
      </c>
      <c r="G321" s="11"/>
      <c r="H321" s="11"/>
      <c r="I321" s="11">
        <f>IF(G321="","Pending",IF(G321&gt;=J321,"Accepted",IF(G321&gt;=(J321-Configuration!$C$5),"Tolerance","Refusal")))</f>
      </c>
      <c r="J321" s="11">
        <f>IFERROR(VLOOKUP(B321,'Plot Plan'!$A:$D,4,FALSE),"")</f>
      </c>
      <c r="K321" s="11">
        <f>IFERROR(VLOOKUP(B321,'Plot Plan'!$A:$B,2,FALSE),"")</f>
      </c>
      <c r="L321" s="11">
        <f>IFERROR(VLOOKUP(B321,'Plot Plan'!$A:$C,3,FALSE),"")</f>
      </c>
    </row>
    <row r="322" spans="1:12" s="8" customFormat="1" x14ac:dyDescent="0.25">
      <c r="A322" s="12"/>
      <c r="B322" s="10"/>
      <c r="C322" s="10"/>
      <c r="D322" s="10"/>
      <c r="E322" s="10"/>
      <c r="F322" s="10">
        <f>IF(AND(D322&lt;&gt;"",E322&lt;&gt;""),((TIMEVALUE(E322)-TIMEVALUE(D322))*24*60),"")</f>
      </c>
      <c r="G322" s="10"/>
      <c r="H322" s="10"/>
      <c r="I322" s="10">
        <f>IF(G322="","Pending",IF(G322&gt;=J322,"Accepted",IF(G322&gt;=(J322-Configuration!$C$5),"Tolerance","Refusal")))</f>
      </c>
      <c r="J322" s="10">
        <f>IFERROR(VLOOKUP(B322,'Plot Plan'!$A:$D,4,FALSE),"")</f>
      </c>
      <c r="K322" s="10">
        <f>IFERROR(VLOOKUP(B322,'Plot Plan'!$A:$B,2,FALSE),"")</f>
      </c>
      <c r="L322" s="10">
        <f>IFERROR(VLOOKUP(B322,'Plot Plan'!$A:$C,3,FALSE),"")</f>
      </c>
    </row>
    <row r="323" spans="1:12" x14ac:dyDescent="0.25">
      <c r="A323" s="13"/>
      <c r="B323" s="11"/>
      <c r="C323" s="11"/>
      <c r="D323" s="11"/>
      <c r="E323" s="11"/>
      <c r="F323" s="11">
        <f>IF(AND(D323&lt;&gt;"",E323&lt;&gt;""),((TIMEVALUE(E323)-TIMEVALUE(D323))*24*60),"")</f>
      </c>
      <c r="G323" s="11"/>
      <c r="H323" s="11"/>
      <c r="I323" s="11">
        <f>IF(G323="","Pending",IF(G323&gt;=J323,"Accepted",IF(G323&gt;=(J323-Configuration!$C$5),"Tolerance","Refusal")))</f>
      </c>
      <c r="J323" s="11">
        <f>IFERROR(VLOOKUP(B323,'Plot Plan'!$A:$D,4,FALSE),"")</f>
      </c>
      <c r="K323" s="11">
        <f>IFERROR(VLOOKUP(B323,'Plot Plan'!$A:$B,2,FALSE),"")</f>
      </c>
      <c r="L323" s="11">
        <f>IFERROR(VLOOKUP(B323,'Plot Plan'!$A:$C,3,FALSE),"")</f>
      </c>
    </row>
    <row r="324" spans="1:12" s="8" customFormat="1" x14ac:dyDescent="0.25">
      <c r="A324" s="12"/>
      <c r="B324" s="10"/>
      <c r="C324" s="10"/>
      <c r="D324" s="10"/>
      <c r="E324" s="10"/>
      <c r="F324" s="10">
        <f>IF(AND(D324&lt;&gt;"",E324&lt;&gt;""),((TIMEVALUE(E324)-TIMEVALUE(D324))*24*60),"")</f>
      </c>
      <c r="G324" s="10"/>
      <c r="H324" s="10"/>
      <c r="I324" s="10">
        <f>IF(G324="","Pending",IF(G324&gt;=J324,"Accepted",IF(G324&gt;=(J324-Configuration!$C$5),"Tolerance","Refusal")))</f>
      </c>
      <c r="J324" s="10">
        <f>IFERROR(VLOOKUP(B324,'Plot Plan'!$A:$D,4,FALSE),"")</f>
      </c>
      <c r="K324" s="10">
        <f>IFERROR(VLOOKUP(B324,'Plot Plan'!$A:$B,2,FALSE),"")</f>
      </c>
      <c r="L324" s="10">
        <f>IFERROR(VLOOKUP(B324,'Plot Plan'!$A:$C,3,FALSE),"")</f>
      </c>
    </row>
    <row r="325" spans="1:12" x14ac:dyDescent="0.25">
      <c r="A325" s="13"/>
      <c r="B325" s="11"/>
      <c r="C325" s="11"/>
      <c r="D325" s="11"/>
      <c r="E325" s="11"/>
      <c r="F325" s="11">
        <f>IF(AND(D325&lt;&gt;"",E325&lt;&gt;""),((TIMEVALUE(E325)-TIMEVALUE(D325))*24*60),"")</f>
      </c>
      <c r="G325" s="11"/>
      <c r="H325" s="11"/>
      <c r="I325" s="11">
        <f>IF(G325="","Pending",IF(G325&gt;=J325,"Accepted",IF(G325&gt;=(J325-Configuration!$C$5),"Tolerance","Refusal")))</f>
      </c>
      <c r="J325" s="11">
        <f>IFERROR(VLOOKUP(B325,'Plot Plan'!$A:$D,4,FALSE),"")</f>
      </c>
      <c r="K325" s="11">
        <f>IFERROR(VLOOKUP(B325,'Plot Plan'!$A:$B,2,FALSE),"")</f>
      </c>
      <c r="L325" s="11">
        <f>IFERROR(VLOOKUP(B325,'Plot Plan'!$A:$C,3,FALSE),"")</f>
      </c>
    </row>
    <row r="326" spans="1:12" s="8" customFormat="1" x14ac:dyDescent="0.25">
      <c r="A326" s="12"/>
      <c r="B326" s="10"/>
      <c r="C326" s="10"/>
      <c r="D326" s="10"/>
      <c r="E326" s="10"/>
      <c r="F326" s="10">
        <f>IF(AND(D326&lt;&gt;"",E326&lt;&gt;""),((TIMEVALUE(E326)-TIMEVALUE(D326))*24*60),"")</f>
      </c>
      <c r="G326" s="10"/>
      <c r="H326" s="10"/>
      <c r="I326" s="10">
        <f>IF(G326="","Pending",IF(G326&gt;=J326,"Accepted",IF(G326&gt;=(J326-Configuration!$C$5),"Tolerance","Refusal")))</f>
      </c>
      <c r="J326" s="10">
        <f>IFERROR(VLOOKUP(B326,'Plot Plan'!$A:$D,4,FALSE),"")</f>
      </c>
      <c r="K326" s="10">
        <f>IFERROR(VLOOKUP(B326,'Plot Plan'!$A:$B,2,FALSE),"")</f>
      </c>
      <c r="L326" s="10">
        <f>IFERROR(VLOOKUP(B326,'Plot Plan'!$A:$C,3,FALSE),"")</f>
      </c>
    </row>
    <row r="327" spans="1:12" x14ac:dyDescent="0.25">
      <c r="A327" s="13"/>
      <c r="B327" s="11"/>
      <c r="C327" s="11"/>
      <c r="D327" s="11"/>
      <c r="E327" s="11"/>
      <c r="F327" s="11">
        <f>IF(AND(D327&lt;&gt;"",E327&lt;&gt;""),((TIMEVALUE(E327)-TIMEVALUE(D327))*24*60),"")</f>
      </c>
      <c r="G327" s="11"/>
      <c r="H327" s="11"/>
      <c r="I327" s="11">
        <f>IF(G327="","Pending",IF(G327&gt;=J327,"Accepted",IF(G327&gt;=(J327-Configuration!$C$5),"Tolerance","Refusal")))</f>
      </c>
      <c r="J327" s="11">
        <f>IFERROR(VLOOKUP(B327,'Plot Plan'!$A:$D,4,FALSE),"")</f>
      </c>
      <c r="K327" s="11">
        <f>IFERROR(VLOOKUP(B327,'Plot Plan'!$A:$B,2,FALSE),"")</f>
      </c>
      <c r="L327" s="11">
        <f>IFERROR(VLOOKUP(B327,'Plot Plan'!$A:$C,3,FALSE),"")</f>
      </c>
    </row>
    <row r="328" spans="1:12" s="8" customFormat="1" x14ac:dyDescent="0.25">
      <c r="A328" s="12"/>
      <c r="B328" s="10"/>
      <c r="C328" s="10"/>
      <c r="D328" s="10"/>
      <c r="E328" s="10"/>
      <c r="F328" s="10">
        <f>IF(AND(D328&lt;&gt;"",E328&lt;&gt;""),((TIMEVALUE(E328)-TIMEVALUE(D328))*24*60),"")</f>
      </c>
      <c r="G328" s="10"/>
      <c r="H328" s="10"/>
      <c r="I328" s="10">
        <f>IF(G328="","Pending",IF(G328&gt;=J328,"Accepted",IF(G328&gt;=(J328-Configuration!$C$5),"Tolerance","Refusal")))</f>
      </c>
      <c r="J328" s="10">
        <f>IFERROR(VLOOKUP(B328,'Plot Plan'!$A:$D,4,FALSE),"")</f>
      </c>
      <c r="K328" s="10">
        <f>IFERROR(VLOOKUP(B328,'Plot Plan'!$A:$B,2,FALSE),"")</f>
      </c>
      <c r="L328" s="10">
        <f>IFERROR(VLOOKUP(B328,'Plot Plan'!$A:$C,3,FALSE),"")</f>
      </c>
    </row>
    <row r="329" spans="1:12" x14ac:dyDescent="0.25">
      <c r="A329" s="13"/>
      <c r="B329" s="11"/>
      <c r="C329" s="11"/>
      <c r="D329" s="11"/>
      <c r="E329" s="11"/>
      <c r="F329" s="11">
        <f>IF(AND(D329&lt;&gt;"",E329&lt;&gt;""),((TIMEVALUE(E329)-TIMEVALUE(D329))*24*60),"")</f>
      </c>
      <c r="G329" s="11"/>
      <c r="H329" s="11"/>
      <c r="I329" s="11">
        <f>IF(G329="","Pending",IF(G329&gt;=J329,"Accepted",IF(G329&gt;=(J329-Configuration!$C$5),"Tolerance","Refusal")))</f>
      </c>
      <c r="J329" s="11">
        <f>IFERROR(VLOOKUP(B329,'Plot Plan'!$A:$D,4,FALSE),"")</f>
      </c>
      <c r="K329" s="11">
        <f>IFERROR(VLOOKUP(B329,'Plot Plan'!$A:$B,2,FALSE),"")</f>
      </c>
      <c r="L329" s="11">
        <f>IFERROR(VLOOKUP(B329,'Plot Plan'!$A:$C,3,FALSE),"")</f>
      </c>
    </row>
    <row r="330" spans="1:12" s="8" customFormat="1" x14ac:dyDescent="0.25">
      <c r="A330" s="12"/>
      <c r="B330" s="10"/>
      <c r="C330" s="10"/>
      <c r="D330" s="10"/>
      <c r="E330" s="10"/>
      <c r="F330" s="10">
        <f>IF(AND(D330&lt;&gt;"",E330&lt;&gt;""),((TIMEVALUE(E330)-TIMEVALUE(D330))*24*60),"")</f>
      </c>
      <c r="G330" s="10"/>
      <c r="H330" s="10"/>
      <c r="I330" s="10">
        <f>IF(G330="","Pending",IF(G330&gt;=J330,"Accepted",IF(G330&gt;=(J330-Configuration!$C$5),"Tolerance","Refusal")))</f>
      </c>
      <c r="J330" s="10">
        <f>IFERROR(VLOOKUP(B330,'Plot Plan'!$A:$D,4,FALSE),"")</f>
      </c>
      <c r="K330" s="10">
        <f>IFERROR(VLOOKUP(B330,'Plot Plan'!$A:$B,2,FALSE),"")</f>
      </c>
      <c r="L330" s="10">
        <f>IFERROR(VLOOKUP(B330,'Plot Plan'!$A:$C,3,FALSE),"")</f>
      </c>
    </row>
    <row r="331" spans="1:12" x14ac:dyDescent="0.25">
      <c r="A331" s="13"/>
      <c r="B331" s="11"/>
      <c r="C331" s="11"/>
      <c r="D331" s="11"/>
      <c r="E331" s="11"/>
      <c r="F331" s="11">
        <f>IF(AND(D331&lt;&gt;"",E331&lt;&gt;""),((TIMEVALUE(E331)-TIMEVALUE(D331))*24*60),"")</f>
      </c>
      <c r="G331" s="11"/>
      <c r="H331" s="11"/>
      <c r="I331" s="11">
        <f>IF(G331="","Pending",IF(G331&gt;=J331,"Accepted",IF(G331&gt;=(J331-Configuration!$C$5),"Tolerance","Refusal")))</f>
      </c>
      <c r="J331" s="11">
        <f>IFERROR(VLOOKUP(B331,'Plot Plan'!$A:$D,4,FALSE),"")</f>
      </c>
      <c r="K331" s="11">
        <f>IFERROR(VLOOKUP(B331,'Plot Plan'!$A:$B,2,FALSE),"")</f>
      </c>
      <c r="L331" s="11">
        <f>IFERROR(VLOOKUP(B331,'Plot Plan'!$A:$C,3,FALSE),"")</f>
      </c>
    </row>
    <row r="332" spans="1:12" s="8" customFormat="1" x14ac:dyDescent="0.25">
      <c r="A332" s="12"/>
      <c r="B332" s="10"/>
      <c r="C332" s="10"/>
      <c r="D332" s="10"/>
      <c r="E332" s="10"/>
      <c r="F332" s="10">
        <f>IF(AND(D332&lt;&gt;"",E332&lt;&gt;""),((TIMEVALUE(E332)-TIMEVALUE(D332))*24*60),"")</f>
      </c>
      <c r="G332" s="10"/>
      <c r="H332" s="10"/>
      <c r="I332" s="10">
        <f>IF(G332="","Pending",IF(G332&gt;=J332,"Accepted",IF(G332&gt;=(J332-Configuration!$C$5),"Tolerance","Refusal")))</f>
      </c>
      <c r="J332" s="10">
        <f>IFERROR(VLOOKUP(B332,'Plot Plan'!$A:$D,4,FALSE),"")</f>
      </c>
      <c r="K332" s="10">
        <f>IFERROR(VLOOKUP(B332,'Plot Plan'!$A:$B,2,FALSE),"")</f>
      </c>
      <c r="L332" s="10">
        <f>IFERROR(VLOOKUP(B332,'Plot Plan'!$A:$C,3,FALSE),"")</f>
      </c>
    </row>
    <row r="333" spans="1:12" x14ac:dyDescent="0.25">
      <c r="A333" s="13"/>
      <c r="B333" s="11"/>
      <c r="C333" s="11"/>
      <c r="D333" s="11"/>
      <c r="E333" s="11"/>
      <c r="F333" s="11">
        <f>IF(AND(D333&lt;&gt;"",E333&lt;&gt;""),((TIMEVALUE(E333)-TIMEVALUE(D333))*24*60),"")</f>
      </c>
      <c r="G333" s="11"/>
      <c r="H333" s="11"/>
      <c r="I333" s="11">
        <f>IF(G333="","Pending",IF(G333&gt;=J333,"Accepted",IF(G333&gt;=(J333-Configuration!$C$5),"Tolerance","Refusal")))</f>
      </c>
      <c r="J333" s="11">
        <f>IFERROR(VLOOKUP(B333,'Plot Plan'!$A:$D,4,FALSE),"")</f>
      </c>
      <c r="K333" s="11">
        <f>IFERROR(VLOOKUP(B333,'Plot Plan'!$A:$B,2,FALSE),"")</f>
      </c>
      <c r="L333" s="11">
        <f>IFERROR(VLOOKUP(B333,'Plot Plan'!$A:$C,3,FALSE),"")</f>
      </c>
    </row>
    <row r="334" spans="1:12" s="8" customFormat="1" x14ac:dyDescent="0.25">
      <c r="A334" s="12"/>
      <c r="B334" s="10"/>
      <c r="C334" s="10"/>
      <c r="D334" s="10"/>
      <c r="E334" s="10"/>
      <c r="F334" s="10">
        <f>IF(AND(D334&lt;&gt;"",E334&lt;&gt;""),((TIMEVALUE(E334)-TIMEVALUE(D334))*24*60),"")</f>
      </c>
      <c r="G334" s="10"/>
      <c r="H334" s="10"/>
      <c r="I334" s="10">
        <f>IF(G334="","Pending",IF(G334&gt;=J334,"Accepted",IF(G334&gt;=(J334-Configuration!$C$5),"Tolerance","Refusal")))</f>
      </c>
      <c r="J334" s="10">
        <f>IFERROR(VLOOKUP(B334,'Plot Plan'!$A:$D,4,FALSE),"")</f>
      </c>
      <c r="K334" s="10">
        <f>IFERROR(VLOOKUP(B334,'Plot Plan'!$A:$B,2,FALSE),"")</f>
      </c>
      <c r="L334" s="10">
        <f>IFERROR(VLOOKUP(B334,'Plot Plan'!$A:$C,3,FALSE),"")</f>
      </c>
    </row>
    <row r="335" spans="1:12" x14ac:dyDescent="0.25">
      <c r="A335" s="13"/>
      <c r="B335" s="11"/>
      <c r="C335" s="11"/>
      <c r="D335" s="11"/>
      <c r="E335" s="11"/>
      <c r="F335" s="11">
        <f>IF(AND(D335&lt;&gt;"",E335&lt;&gt;""),((TIMEVALUE(E335)-TIMEVALUE(D335))*24*60),"")</f>
      </c>
      <c r="G335" s="11"/>
      <c r="H335" s="11"/>
      <c r="I335" s="11">
        <f>IF(G335="","Pending",IF(G335&gt;=J335,"Accepted",IF(G335&gt;=(J335-Configuration!$C$5),"Tolerance","Refusal")))</f>
      </c>
      <c r="J335" s="11">
        <f>IFERROR(VLOOKUP(B335,'Plot Plan'!$A:$D,4,FALSE),"")</f>
      </c>
      <c r="K335" s="11">
        <f>IFERROR(VLOOKUP(B335,'Plot Plan'!$A:$B,2,FALSE),"")</f>
      </c>
      <c r="L335" s="11">
        <f>IFERROR(VLOOKUP(B335,'Plot Plan'!$A:$C,3,FALSE),"")</f>
      </c>
    </row>
    <row r="336" spans="1:12" s="8" customFormat="1" x14ac:dyDescent="0.25">
      <c r="A336" s="12"/>
      <c r="B336" s="10"/>
      <c r="C336" s="10"/>
      <c r="D336" s="10"/>
      <c r="E336" s="10"/>
      <c r="F336" s="10">
        <f>IF(AND(D336&lt;&gt;"",E336&lt;&gt;""),((TIMEVALUE(E336)-TIMEVALUE(D336))*24*60),"")</f>
      </c>
      <c r="G336" s="10"/>
      <c r="H336" s="10"/>
      <c r="I336" s="10">
        <f>IF(G336="","Pending",IF(G336&gt;=J336,"Accepted",IF(G336&gt;=(J336-Configuration!$C$5),"Tolerance","Refusal")))</f>
      </c>
      <c r="J336" s="10">
        <f>IFERROR(VLOOKUP(B336,'Plot Plan'!$A:$D,4,FALSE),"")</f>
      </c>
      <c r="K336" s="10">
        <f>IFERROR(VLOOKUP(B336,'Plot Plan'!$A:$B,2,FALSE),"")</f>
      </c>
      <c r="L336" s="10">
        <f>IFERROR(VLOOKUP(B336,'Plot Plan'!$A:$C,3,FALSE),"")</f>
      </c>
    </row>
    <row r="337" spans="1:12" x14ac:dyDescent="0.25">
      <c r="A337" s="13"/>
      <c r="B337" s="11"/>
      <c r="C337" s="11"/>
      <c r="D337" s="11"/>
      <c r="E337" s="11"/>
      <c r="F337" s="11">
        <f>IF(AND(D337&lt;&gt;"",E337&lt;&gt;""),((TIMEVALUE(E337)-TIMEVALUE(D337))*24*60),"")</f>
      </c>
      <c r="G337" s="11"/>
      <c r="H337" s="11"/>
      <c r="I337" s="11">
        <f>IF(G337="","Pending",IF(G337&gt;=J337,"Accepted",IF(G337&gt;=(J337-Configuration!$C$5),"Tolerance","Refusal")))</f>
      </c>
      <c r="J337" s="11">
        <f>IFERROR(VLOOKUP(B337,'Plot Plan'!$A:$D,4,FALSE),"")</f>
      </c>
      <c r="K337" s="11">
        <f>IFERROR(VLOOKUP(B337,'Plot Plan'!$A:$B,2,FALSE),"")</f>
      </c>
      <c r="L337" s="11">
        <f>IFERROR(VLOOKUP(B337,'Plot Plan'!$A:$C,3,FALSE),"")</f>
      </c>
    </row>
    <row r="338" spans="1:12" s="8" customFormat="1" x14ac:dyDescent="0.25">
      <c r="A338" s="12"/>
      <c r="B338" s="10"/>
      <c r="C338" s="10"/>
      <c r="D338" s="10"/>
      <c r="E338" s="10"/>
      <c r="F338" s="10">
        <f>IF(AND(D338&lt;&gt;"",E338&lt;&gt;""),((TIMEVALUE(E338)-TIMEVALUE(D338))*24*60),"")</f>
      </c>
      <c r="G338" s="10"/>
      <c r="H338" s="10"/>
      <c r="I338" s="10">
        <f>IF(G338="","Pending",IF(G338&gt;=J338,"Accepted",IF(G338&gt;=(J338-Configuration!$C$5),"Tolerance","Refusal")))</f>
      </c>
      <c r="J338" s="10">
        <f>IFERROR(VLOOKUP(B338,'Plot Plan'!$A:$D,4,FALSE),"")</f>
      </c>
      <c r="K338" s="10">
        <f>IFERROR(VLOOKUP(B338,'Plot Plan'!$A:$B,2,FALSE),"")</f>
      </c>
      <c r="L338" s="10">
        <f>IFERROR(VLOOKUP(B338,'Plot Plan'!$A:$C,3,FALSE),"")</f>
      </c>
    </row>
    <row r="339" spans="1:12" x14ac:dyDescent="0.25">
      <c r="A339" s="13"/>
      <c r="B339" s="11"/>
      <c r="C339" s="11"/>
      <c r="D339" s="11"/>
      <c r="E339" s="11"/>
      <c r="F339" s="11">
        <f>IF(AND(D339&lt;&gt;"",E339&lt;&gt;""),((TIMEVALUE(E339)-TIMEVALUE(D339))*24*60),"")</f>
      </c>
      <c r="G339" s="11"/>
      <c r="H339" s="11"/>
      <c r="I339" s="11">
        <f>IF(G339="","Pending",IF(G339&gt;=J339,"Accepted",IF(G339&gt;=(J339-Configuration!$C$5),"Tolerance","Refusal")))</f>
      </c>
      <c r="J339" s="11">
        <f>IFERROR(VLOOKUP(B339,'Plot Plan'!$A:$D,4,FALSE),"")</f>
      </c>
      <c r="K339" s="11">
        <f>IFERROR(VLOOKUP(B339,'Plot Plan'!$A:$B,2,FALSE),"")</f>
      </c>
      <c r="L339" s="11">
        <f>IFERROR(VLOOKUP(B339,'Plot Plan'!$A:$C,3,FALSE),"")</f>
      </c>
    </row>
    <row r="340" spans="1:12" s="8" customFormat="1" x14ac:dyDescent="0.25">
      <c r="A340" s="12"/>
      <c r="B340" s="10"/>
      <c r="C340" s="10"/>
      <c r="D340" s="10"/>
      <c r="E340" s="10"/>
      <c r="F340" s="10">
        <f>IF(AND(D340&lt;&gt;"",E340&lt;&gt;""),((TIMEVALUE(E340)-TIMEVALUE(D340))*24*60),"")</f>
      </c>
      <c r="G340" s="10"/>
      <c r="H340" s="10"/>
      <c r="I340" s="10">
        <f>IF(G340="","Pending",IF(G340&gt;=J340,"Accepted",IF(G340&gt;=(J340-Configuration!$C$5),"Tolerance","Refusal")))</f>
      </c>
      <c r="J340" s="10">
        <f>IFERROR(VLOOKUP(B340,'Plot Plan'!$A:$D,4,FALSE),"")</f>
      </c>
      <c r="K340" s="10">
        <f>IFERROR(VLOOKUP(B340,'Plot Plan'!$A:$B,2,FALSE),"")</f>
      </c>
      <c r="L340" s="10">
        <f>IFERROR(VLOOKUP(B340,'Plot Plan'!$A:$C,3,FALSE),"")</f>
      </c>
    </row>
    <row r="341" spans="1:12" x14ac:dyDescent="0.25">
      <c r="A341" s="13"/>
      <c r="B341" s="11"/>
      <c r="C341" s="11"/>
      <c r="D341" s="11"/>
      <c r="E341" s="11"/>
      <c r="F341" s="11">
        <f>IF(AND(D341&lt;&gt;"",E341&lt;&gt;""),((TIMEVALUE(E341)-TIMEVALUE(D341))*24*60),"")</f>
      </c>
      <c r="G341" s="11"/>
      <c r="H341" s="11"/>
      <c r="I341" s="11">
        <f>IF(G341="","Pending",IF(G341&gt;=J341,"Accepted",IF(G341&gt;=(J341-Configuration!$C$5),"Tolerance","Refusal")))</f>
      </c>
      <c r="J341" s="11">
        <f>IFERROR(VLOOKUP(B341,'Plot Plan'!$A:$D,4,FALSE),"")</f>
      </c>
      <c r="K341" s="11">
        <f>IFERROR(VLOOKUP(B341,'Plot Plan'!$A:$B,2,FALSE),"")</f>
      </c>
      <c r="L341" s="11">
        <f>IFERROR(VLOOKUP(B341,'Plot Plan'!$A:$C,3,FALSE),"")</f>
      </c>
    </row>
    <row r="342" spans="1:12" s="8" customFormat="1" x14ac:dyDescent="0.25">
      <c r="A342" s="12"/>
      <c r="B342" s="10"/>
      <c r="C342" s="10"/>
      <c r="D342" s="10"/>
      <c r="E342" s="10"/>
      <c r="F342" s="10">
        <f>IF(AND(D342&lt;&gt;"",E342&lt;&gt;""),((TIMEVALUE(E342)-TIMEVALUE(D342))*24*60),"")</f>
      </c>
      <c r="G342" s="10"/>
      <c r="H342" s="10"/>
      <c r="I342" s="10">
        <f>IF(G342="","Pending",IF(G342&gt;=J342,"Accepted",IF(G342&gt;=(J342-Configuration!$C$5),"Tolerance","Refusal")))</f>
      </c>
      <c r="J342" s="10">
        <f>IFERROR(VLOOKUP(B342,'Plot Plan'!$A:$D,4,FALSE),"")</f>
      </c>
      <c r="K342" s="10">
        <f>IFERROR(VLOOKUP(B342,'Plot Plan'!$A:$B,2,FALSE),"")</f>
      </c>
      <c r="L342" s="10">
        <f>IFERROR(VLOOKUP(B342,'Plot Plan'!$A:$C,3,FALSE),"")</f>
      </c>
    </row>
    <row r="343" spans="1:12" x14ac:dyDescent="0.25">
      <c r="A343" s="13"/>
      <c r="B343" s="11"/>
      <c r="C343" s="11"/>
      <c r="D343" s="11"/>
      <c r="E343" s="11"/>
      <c r="F343" s="11">
        <f>IF(AND(D343&lt;&gt;"",E343&lt;&gt;""),((TIMEVALUE(E343)-TIMEVALUE(D343))*24*60),"")</f>
      </c>
      <c r="G343" s="11"/>
      <c r="H343" s="11"/>
      <c r="I343" s="11">
        <f>IF(G343="","Pending",IF(G343&gt;=J343,"Accepted",IF(G343&gt;=(J343-Configuration!$C$5),"Tolerance","Refusal")))</f>
      </c>
      <c r="J343" s="11">
        <f>IFERROR(VLOOKUP(B343,'Plot Plan'!$A:$D,4,FALSE),"")</f>
      </c>
      <c r="K343" s="11">
        <f>IFERROR(VLOOKUP(B343,'Plot Plan'!$A:$B,2,FALSE),"")</f>
      </c>
      <c r="L343" s="11">
        <f>IFERROR(VLOOKUP(B343,'Plot Plan'!$A:$C,3,FALSE),"")</f>
      </c>
    </row>
    <row r="344" spans="1:12" s="8" customFormat="1" x14ac:dyDescent="0.25">
      <c r="A344" s="12"/>
      <c r="B344" s="10"/>
      <c r="C344" s="10"/>
      <c r="D344" s="10"/>
      <c r="E344" s="10"/>
      <c r="F344" s="10">
        <f>IF(AND(D344&lt;&gt;"",E344&lt;&gt;""),((TIMEVALUE(E344)-TIMEVALUE(D344))*24*60),"")</f>
      </c>
      <c r="G344" s="10"/>
      <c r="H344" s="10"/>
      <c r="I344" s="10">
        <f>IF(G344="","Pending",IF(G344&gt;=J344,"Accepted",IF(G344&gt;=(J344-Configuration!$C$5),"Tolerance","Refusal")))</f>
      </c>
      <c r="J344" s="10">
        <f>IFERROR(VLOOKUP(B344,'Plot Plan'!$A:$D,4,FALSE),"")</f>
      </c>
      <c r="K344" s="10">
        <f>IFERROR(VLOOKUP(B344,'Plot Plan'!$A:$B,2,FALSE),"")</f>
      </c>
      <c r="L344" s="10">
        <f>IFERROR(VLOOKUP(B344,'Plot Plan'!$A:$C,3,FALSE),"")</f>
      </c>
    </row>
    <row r="345" spans="1:12" x14ac:dyDescent="0.25">
      <c r="A345" s="13"/>
      <c r="B345" s="11"/>
      <c r="C345" s="11"/>
      <c r="D345" s="11"/>
      <c r="E345" s="11"/>
      <c r="F345" s="11">
        <f>IF(AND(D345&lt;&gt;"",E345&lt;&gt;""),((TIMEVALUE(E345)-TIMEVALUE(D345))*24*60),"")</f>
      </c>
      <c r="G345" s="11"/>
      <c r="H345" s="11"/>
      <c r="I345" s="11">
        <f>IF(G345="","Pending",IF(G345&gt;=J345,"Accepted",IF(G345&gt;=(J345-Configuration!$C$5),"Tolerance","Refusal")))</f>
      </c>
      <c r="J345" s="11">
        <f>IFERROR(VLOOKUP(B345,'Plot Plan'!$A:$D,4,FALSE),"")</f>
      </c>
      <c r="K345" s="11">
        <f>IFERROR(VLOOKUP(B345,'Plot Plan'!$A:$B,2,FALSE),"")</f>
      </c>
      <c r="L345" s="11">
        <f>IFERROR(VLOOKUP(B345,'Plot Plan'!$A:$C,3,FALSE),"")</f>
      </c>
    </row>
    <row r="346" spans="1:12" s="8" customFormat="1" x14ac:dyDescent="0.25">
      <c r="A346" s="12"/>
      <c r="B346" s="10"/>
      <c r="C346" s="10"/>
      <c r="D346" s="10"/>
      <c r="E346" s="10"/>
      <c r="F346" s="10">
        <f>IF(AND(D346&lt;&gt;"",E346&lt;&gt;""),((TIMEVALUE(E346)-TIMEVALUE(D346))*24*60),"")</f>
      </c>
      <c r="G346" s="10"/>
      <c r="H346" s="10"/>
      <c r="I346" s="10">
        <f>IF(G346="","Pending",IF(G346&gt;=J346,"Accepted",IF(G346&gt;=(J346-Configuration!$C$5),"Tolerance","Refusal")))</f>
      </c>
      <c r="J346" s="10">
        <f>IFERROR(VLOOKUP(B346,'Plot Plan'!$A:$D,4,FALSE),"")</f>
      </c>
      <c r="K346" s="10">
        <f>IFERROR(VLOOKUP(B346,'Plot Plan'!$A:$B,2,FALSE),"")</f>
      </c>
      <c r="L346" s="10">
        <f>IFERROR(VLOOKUP(B346,'Plot Plan'!$A:$C,3,FALSE),"")</f>
      </c>
    </row>
    <row r="347" spans="1:12" x14ac:dyDescent="0.25">
      <c r="A347" s="13"/>
      <c r="B347" s="11"/>
      <c r="C347" s="11"/>
      <c r="D347" s="11"/>
      <c r="E347" s="11"/>
      <c r="F347" s="11">
        <f>IF(AND(D347&lt;&gt;"",E347&lt;&gt;""),((TIMEVALUE(E347)-TIMEVALUE(D347))*24*60),"")</f>
      </c>
      <c r="G347" s="11"/>
      <c r="H347" s="11"/>
      <c r="I347" s="11">
        <f>IF(G347="","Pending",IF(G347&gt;=J347,"Accepted",IF(G347&gt;=(J347-Configuration!$C$5),"Tolerance","Refusal")))</f>
      </c>
      <c r="J347" s="11">
        <f>IFERROR(VLOOKUP(B347,'Plot Plan'!$A:$D,4,FALSE),"")</f>
      </c>
      <c r="K347" s="11">
        <f>IFERROR(VLOOKUP(B347,'Plot Plan'!$A:$B,2,FALSE),"")</f>
      </c>
      <c r="L347" s="11">
        <f>IFERROR(VLOOKUP(B347,'Plot Plan'!$A:$C,3,FALSE),"")</f>
      </c>
    </row>
    <row r="348" spans="1:12" s="8" customFormat="1" x14ac:dyDescent="0.25">
      <c r="A348" s="12"/>
      <c r="B348" s="10"/>
      <c r="C348" s="10"/>
      <c r="D348" s="10"/>
      <c r="E348" s="10"/>
      <c r="F348" s="10">
        <f>IF(AND(D348&lt;&gt;"",E348&lt;&gt;""),((TIMEVALUE(E348)-TIMEVALUE(D348))*24*60),"")</f>
      </c>
      <c r="G348" s="10"/>
      <c r="H348" s="10"/>
      <c r="I348" s="10">
        <f>IF(G348="","Pending",IF(G348&gt;=J348,"Accepted",IF(G348&gt;=(J348-Configuration!$C$5),"Tolerance","Refusal")))</f>
      </c>
      <c r="J348" s="10">
        <f>IFERROR(VLOOKUP(B348,'Plot Plan'!$A:$D,4,FALSE),"")</f>
      </c>
      <c r="K348" s="10">
        <f>IFERROR(VLOOKUP(B348,'Plot Plan'!$A:$B,2,FALSE),"")</f>
      </c>
      <c r="L348" s="10">
        <f>IFERROR(VLOOKUP(B348,'Plot Plan'!$A:$C,3,FALSE),"")</f>
      </c>
    </row>
    <row r="349" spans="1:12" x14ac:dyDescent="0.25">
      <c r="A349" s="13"/>
      <c r="B349" s="11"/>
      <c r="C349" s="11"/>
      <c r="D349" s="11"/>
      <c r="E349" s="11"/>
      <c r="F349" s="11">
        <f>IF(AND(D349&lt;&gt;"",E349&lt;&gt;""),((TIMEVALUE(E349)-TIMEVALUE(D349))*24*60),"")</f>
      </c>
      <c r="G349" s="11"/>
      <c r="H349" s="11"/>
      <c r="I349" s="11">
        <f>IF(G349="","Pending",IF(G349&gt;=J349,"Accepted",IF(G349&gt;=(J349-Configuration!$C$5),"Tolerance","Refusal")))</f>
      </c>
      <c r="J349" s="11">
        <f>IFERROR(VLOOKUP(B349,'Plot Plan'!$A:$D,4,FALSE),"")</f>
      </c>
      <c r="K349" s="11">
        <f>IFERROR(VLOOKUP(B349,'Plot Plan'!$A:$B,2,FALSE),"")</f>
      </c>
      <c r="L349" s="11">
        <f>IFERROR(VLOOKUP(B349,'Plot Plan'!$A:$C,3,FALSE),"")</f>
      </c>
    </row>
    <row r="350" spans="1:12" s="8" customFormat="1" x14ac:dyDescent="0.25">
      <c r="A350" s="12"/>
      <c r="B350" s="10"/>
      <c r="C350" s="10"/>
      <c r="D350" s="10"/>
      <c r="E350" s="10"/>
      <c r="F350" s="10">
        <f>IF(AND(D350&lt;&gt;"",E350&lt;&gt;""),((TIMEVALUE(E350)-TIMEVALUE(D350))*24*60),"")</f>
      </c>
      <c r="G350" s="10"/>
      <c r="H350" s="10"/>
      <c r="I350" s="10">
        <f>IF(G350="","Pending",IF(G350&gt;=J350,"Accepted",IF(G350&gt;=(J350-Configuration!$C$5),"Tolerance","Refusal")))</f>
      </c>
      <c r="J350" s="10">
        <f>IFERROR(VLOOKUP(B350,'Plot Plan'!$A:$D,4,FALSE),"")</f>
      </c>
      <c r="K350" s="10">
        <f>IFERROR(VLOOKUP(B350,'Plot Plan'!$A:$B,2,FALSE),"")</f>
      </c>
      <c r="L350" s="10">
        <f>IFERROR(VLOOKUP(B350,'Plot Plan'!$A:$C,3,FALSE),"")</f>
      </c>
    </row>
    <row r="351" spans="1:12" x14ac:dyDescent="0.25">
      <c r="A351" s="13"/>
      <c r="B351" s="11"/>
      <c r="C351" s="11"/>
      <c r="D351" s="11"/>
      <c r="E351" s="11"/>
      <c r="F351" s="11">
        <f>IF(AND(D351&lt;&gt;"",E351&lt;&gt;""),((TIMEVALUE(E351)-TIMEVALUE(D351))*24*60),"")</f>
      </c>
      <c r="G351" s="11"/>
      <c r="H351" s="11"/>
      <c r="I351" s="11">
        <f>IF(G351="","Pending",IF(G351&gt;=J351,"Accepted",IF(G351&gt;=(J351-Configuration!$C$5),"Tolerance","Refusal")))</f>
      </c>
      <c r="J351" s="11">
        <f>IFERROR(VLOOKUP(B351,'Plot Plan'!$A:$D,4,FALSE),"")</f>
      </c>
      <c r="K351" s="11">
        <f>IFERROR(VLOOKUP(B351,'Plot Plan'!$A:$B,2,FALSE),"")</f>
      </c>
      <c r="L351" s="11">
        <f>IFERROR(VLOOKUP(B351,'Plot Plan'!$A:$C,3,FALSE),"")</f>
      </c>
    </row>
    <row r="352" spans="1:12" s="8" customFormat="1" x14ac:dyDescent="0.25">
      <c r="A352" s="12"/>
      <c r="B352" s="10"/>
      <c r="C352" s="10"/>
      <c r="D352" s="10"/>
      <c r="E352" s="10"/>
      <c r="F352" s="10">
        <f>IF(AND(D352&lt;&gt;"",E352&lt;&gt;""),((TIMEVALUE(E352)-TIMEVALUE(D352))*24*60),"")</f>
      </c>
      <c r="G352" s="10"/>
      <c r="H352" s="10"/>
      <c r="I352" s="10">
        <f>IF(G352="","Pending",IF(G352&gt;=J352,"Accepted",IF(G352&gt;=(J352-Configuration!$C$5),"Tolerance","Refusal")))</f>
      </c>
      <c r="J352" s="10">
        <f>IFERROR(VLOOKUP(B352,'Plot Plan'!$A:$D,4,FALSE),"")</f>
      </c>
      <c r="K352" s="10">
        <f>IFERROR(VLOOKUP(B352,'Plot Plan'!$A:$B,2,FALSE),"")</f>
      </c>
      <c r="L352" s="10">
        <f>IFERROR(VLOOKUP(B352,'Plot Plan'!$A:$C,3,FALSE),"")</f>
      </c>
    </row>
    <row r="353" spans="1:12" x14ac:dyDescent="0.25">
      <c r="A353" s="13"/>
      <c r="B353" s="11"/>
      <c r="C353" s="11"/>
      <c r="D353" s="11"/>
      <c r="E353" s="11"/>
      <c r="F353" s="11">
        <f>IF(AND(D353&lt;&gt;"",E353&lt;&gt;""),((TIMEVALUE(E353)-TIMEVALUE(D353))*24*60),"")</f>
      </c>
      <c r="G353" s="11"/>
      <c r="H353" s="11"/>
      <c r="I353" s="11">
        <f>IF(G353="","Pending",IF(G353&gt;=J353,"Accepted",IF(G353&gt;=(J353-Configuration!$C$5),"Tolerance","Refusal")))</f>
      </c>
      <c r="J353" s="11">
        <f>IFERROR(VLOOKUP(B353,'Plot Plan'!$A:$D,4,FALSE),"")</f>
      </c>
      <c r="K353" s="11">
        <f>IFERROR(VLOOKUP(B353,'Plot Plan'!$A:$B,2,FALSE),"")</f>
      </c>
      <c r="L353" s="11">
        <f>IFERROR(VLOOKUP(B353,'Plot Plan'!$A:$C,3,FALSE),"")</f>
      </c>
    </row>
    <row r="354" spans="1:12" s="8" customFormat="1" x14ac:dyDescent="0.25">
      <c r="A354" s="12"/>
      <c r="B354" s="10"/>
      <c r="C354" s="10"/>
      <c r="D354" s="10"/>
      <c r="E354" s="10"/>
      <c r="F354" s="10">
        <f>IF(AND(D354&lt;&gt;"",E354&lt;&gt;""),((TIMEVALUE(E354)-TIMEVALUE(D354))*24*60),"")</f>
      </c>
      <c r="G354" s="10"/>
      <c r="H354" s="10"/>
      <c r="I354" s="10">
        <f>IF(G354="","Pending",IF(G354&gt;=J354,"Accepted",IF(G354&gt;=(J354-Configuration!$C$5),"Tolerance","Refusal")))</f>
      </c>
      <c r="J354" s="10">
        <f>IFERROR(VLOOKUP(B354,'Plot Plan'!$A:$D,4,FALSE),"")</f>
      </c>
      <c r="K354" s="10">
        <f>IFERROR(VLOOKUP(B354,'Plot Plan'!$A:$B,2,FALSE),"")</f>
      </c>
      <c r="L354" s="10">
        <f>IFERROR(VLOOKUP(B354,'Plot Plan'!$A:$C,3,FALSE),"")</f>
      </c>
    </row>
    <row r="355" spans="1:12" x14ac:dyDescent="0.25">
      <c r="A355" s="13"/>
      <c r="B355" s="11"/>
      <c r="C355" s="11"/>
      <c r="D355" s="11"/>
      <c r="E355" s="11"/>
      <c r="F355" s="11">
        <f>IF(AND(D355&lt;&gt;"",E355&lt;&gt;""),((TIMEVALUE(E355)-TIMEVALUE(D355))*24*60),"")</f>
      </c>
      <c r="G355" s="11"/>
      <c r="H355" s="11"/>
      <c r="I355" s="11">
        <f>IF(G355="","Pending",IF(G355&gt;=J355,"Accepted",IF(G355&gt;=(J355-Configuration!$C$5),"Tolerance","Refusal")))</f>
      </c>
      <c r="J355" s="11">
        <f>IFERROR(VLOOKUP(B355,'Plot Plan'!$A:$D,4,FALSE),"")</f>
      </c>
      <c r="K355" s="11">
        <f>IFERROR(VLOOKUP(B355,'Plot Plan'!$A:$B,2,FALSE),"")</f>
      </c>
      <c r="L355" s="11">
        <f>IFERROR(VLOOKUP(B355,'Plot Plan'!$A:$C,3,FALSE),"")</f>
      </c>
    </row>
    <row r="356" spans="1:12" s="8" customFormat="1" x14ac:dyDescent="0.25">
      <c r="A356" s="12"/>
      <c r="B356" s="10"/>
      <c r="C356" s="10"/>
      <c r="D356" s="10"/>
      <c r="E356" s="10"/>
      <c r="F356" s="10">
        <f>IF(AND(D356&lt;&gt;"",E356&lt;&gt;""),((TIMEVALUE(E356)-TIMEVALUE(D356))*24*60),"")</f>
      </c>
      <c r="G356" s="10"/>
      <c r="H356" s="10"/>
      <c r="I356" s="10">
        <f>IF(G356="","Pending",IF(G356&gt;=J356,"Accepted",IF(G356&gt;=(J356-Configuration!$C$5),"Tolerance","Refusal")))</f>
      </c>
      <c r="J356" s="10">
        <f>IFERROR(VLOOKUP(B356,'Plot Plan'!$A:$D,4,FALSE),"")</f>
      </c>
      <c r="K356" s="10">
        <f>IFERROR(VLOOKUP(B356,'Plot Plan'!$A:$B,2,FALSE),"")</f>
      </c>
      <c r="L356" s="10">
        <f>IFERROR(VLOOKUP(B356,'Plot Plan'!$A:$C,3,FALSE),"")</f>
      </c>
    </row>
    <row r="357" spans="1:12" x14ac:dyDescent="0.25">
      <c r="A357" s="13"/>
      <c r="B357" s="11"/>
      <c r="C357" s="11"/>
      <c r="D357" s="11"/>
      <c r="E357" s="11"/>
      <c r="F357" s="11">
        <f>IF(AND(D357&lt;&gt;"",E357&lt;&gt;""),((TIMEVALUE(E357)-TIMEVALUE(D357))*24*60),"")</f>
      </c>
      <c r="G357" s="11"/>
      <c r="H357" s="11"/>
      <c r="I357" s="11">
        <f>IF(G357="","Pending",IF(G357&gt;=J357,"Accepted",IF(G357&gt;=(J357-Configuration!$C$5),"Tolerance","Refusal")))</f>
      </c>
      <c r="J357" s="11">
        <f>IFERROR(VLOOKUP(B357,'Plot Plan'!$A:$D,4,FALSE),"")</f>
      </c>
      <c r="K357" s="11">
        <f>IFERROR(VLOOKUP(B357,'Plot Plan'!$A:$B,2,FALSE),"")</f>
      </c>
      <c r="L357" s="11">
        <f>IFERROR(VLOOKUP(B357,'Plot Plan'!$A:$C,3,FALSE),"")</f>
      </c>
    </row>
    <row r="358" spans="1:12" s="8" customFormat="1" x14ac:dyDescent="0.25">
      <c r="A358" s="12"/>
      <c r="B358" s="10"/>
      <c r="C358" s="10"/>
      <c r="D358" s="10"/>
      <c r="E358" s="10"/>
      <c r="F358" s="10">
        <f>IF(AND(D358&lt;&gt;"",E358&lt;&gt;""),((TIMEVALUE(E358)-TIMEVALUE(D358))*24*60),"")</f>
      </c>
      <c r="G358" s="10"/>
      <c r="H358" s="10"/>
      <c r="I358" s="10">
        <f>IF(G358="","Pending",IF(G358&gt;=J358,"Accepted",IF(G358&gt;=(J358-Configuration!$C$5),"Tolerance","Refusal")))</f>
      </c>
      <c r="J358" s="10">
        <f>IFERROR(VLOOKUP(B358,'Plot Plan'!$A:$D,4,FALSE),"")</f>
      </c>
      <c r="K358" s="10">
        <f>IFERROR(VLOOKUP(B358,'Plot Plan'!$A:$B,2,FALSE),"")</f>
      </c>
      <c r="L358" s="10">
        <f>IFERROR(VLOOKUP(B358,'Plot Plan'!$A:$C,3,FALSE),"")</f>
      </c>
    </row>
    <row r="359" spans="1:12" x14ac:dyDescent="0.25">
      <c r="A359" s="13"/>
      <c r="B359" s="11"/>
      <c r="C359" s="11"/>
      <c r="D359" s="11"/>
      <c r="E359" s="11"/>
      <c r="F359" s="11">
        <f>IF(AND(D359&lt;&gt;"",E359&lt;&gt;""),((TIMEVALUE(E359)-TIMEVALUE(D359))*24*60),"")</f>
      </c>
      <c r="G359" s="11"/>
      <c r="H359" s="11"/>
      <c r="I359" s="11">
        <f>IF(G359="","Pending",IF(G359&gt;=J359,"Accepted",IF(G359&gt;=(J359-Configuration!$C$5),"Tolerance","Refusal")))</f>
      </c>
      <c r="J359" s="11">
        <f>IFERROR(VLOOKUP(B359,'Plot Plan'!$A:$D,4,FALSE),"")</f>
      </c>
      <c r="K359" s="11">
        <f>IFERROR(VLOOKUP(B359,'Plot Plan'!$A:$B,2,FALSE),"")</f>
      </c>
      <c r="L359" s="11">
        <f>IFERROR(VLOOKUP(B359,'Plot Plan'!$A:$C,3,FALSE),"")</f>
      </c>
    </row>
    <row r="360" spans="1:12" s="8" customFormat="1" x14ac:dyDescent="0.25">
      <c r="A360" s="12"/>
      <c r="B360" s="10"/>
      <c r="C360" s="10"/>
      <c r="D360" s="10"/>
      <c r="E360" s="10"/>
      <c r="F360" s="10">
        <f>IF(AND(D360&lt;&gt;"",E360&lt;&gt;""),((TIMEVALUE(E360)-TIMEVALUE(D360))*24*60),"")</f>
      </c>
      <c r="G360" s="10"/>
      <c r="H360" s="10"/>
      <c r="I360" s="10">
        <f>IF(G360="","Pending",IF(G360&gt;=J360,"Accepted",IF(G360&gt;=(J360-Configuration!$C$5),"Tolerance","Refusal")))</f>
      </c>
      <c r="J360" s="10">
        <f>IFERROR(VLOOKUP(B360,'Plot Plan'!$A:$D,4,FALSE),"")</f>
      </c>
      <c r="K360" s="10">
        <f>IFERROR(VLOOKUP(B360,'Plot Plan'!$A:$B,2,FALSE),"")</f>
      </c>
      <c r="L360" s="10">
        <f>IFERROR(VLOOKUP(B360,'Plot Plan'!$A:$C,3,FALSE),"")</f>
      </c>
    </row>
    <row r="361" spans="1:12" x14ac:dyDescent="0.25">
      <c r="A361" s="13"/>
      <c r="B361" s="11"/>
      <c r="C361" s="11"/>
      <c r="D361" s="11"/>
      <c r="E361" s="11"/>
      <c r="F361" s="11">
        <f>IF(AND(D361&lt;&gt;"",E361&lt;&gt;""),((TIMEVALUE(E361)-TIMEVALUE(D361))*24*60),"")</f>
      </c>
      <c r="G361" s="11"/>
      <c r="H361" s="11"/>
      <c r="I361" s="11">
        <f>IF(G361="","Pending",IF(G361&gt;=J361,"Accepted",IF(G361&gt;=(J361-Configuration!$C$5),"Tolerance","Refusal")))</f>
      </c>
      <c r="J361" s="11">
        <f>IFERROR(VLOOKUP(B361,'Plot Plan'!$A:$D,4,FALSE),"")</f>
      </c>
      <c r="K361" s="11">
        <f>IFERROR(VLOOKUP(B361,'Plot Plan'!$A:$B,2,FALSE),"")</f>
      </c>
      <c r="L361" s="11">
        <f>IFERROR(VLOOKUP(B361,'Plot Plan'!$A:$C,3,FALSE),"")</f>
      </c>
    </row>
    <row r="362" spans="1:12" s="8" customFormat="1" x14ac:dyDescent="0.25">
      <c r="A362" s="12"/>
      <c r="B362" s="10"/>
      <c r="C362" s="10"/>
      <c r="D362" s="10"/>
      <c r="E362" s="10"/>
      <c r="F362" s="10">
        <f>IF(AND(D362&lt;&gt;"",E362&lt;&gt;""),((TIMEVALUE(E362)-TIMEVALUE(D362))*24*60),"")</f>
      </c>
      <c r="G362" s="10"/>
      <c r="H362" s="10"/>
      <c r="I362" s="10">
        <f>IF(G362="","Pending",IF(G362&gt;=J362,"Accepted",IF(G362&gt;=(J362-Configuration!$C$5),"Tolerance","Refusal")))</f>
      </c>
      <c r="J362" s="10">
        <f>IFERROR(VLOOKUP(B362,'Plot Plan'!$A:$D,4,FALSE),"")</f>
      </c>
      <c r="K362" s="10">
        <f>IFERROR(VLOOKUP(B362,'Plot Plan'!$A:$B,2,FALSE),"")</f>
      </c>
      <c r="L362" s="10">
        <f>IFERROR(VLOOKUP(B362,'Plot Plan'!$A:$C,3,FALSE),"")</f>
      </c>
    </row>
    <row r="363" spans="1:12" x14ac:dyDescent="0.25">
      <c r="A363" s="13"/>
      <c r="B363" s="11"/>
      <c r="C363" s="11"/>
      <c r="D363" s="11"/>
      <c r="E363" s="11"/>
      <c r="F363" s="11">
        <f>IF(AND(D363&lt;&gt;"",E363&lt;&gt;""),((TIMEVALUE(E363)-TIMEVALUE(D363))*24*60),"")</f>
      </c>
      <c r="G363" s="11"/>
      <c r="H363" s="11"/>
      <c r="I363" s="11">
        <f>IF(G363="","Pending",IF(G363&gt;=J363,"Accepted",IF(G363&gt;=(J363-Configuration!$C$5),"Tolerance","Refusal")))</f>
      </c>
      <c r="J363" s="11">
        <f>IFERROR(VLOOKUP(B363,'Plot Plan'!$A:$D,4,FALSE),"")</f>
      </c>
      <c r="K363" s="11">
        <f>IFERROR(VLOOKUP(B363,'Plot Plan'!$A:$B,2,FALSE),"")</f>
      </c>
      <c r="L363" s="11">
        <f>IFERROR(VLOOKUP(B363,'Plot Plan'!$A:$C,3,FALSE),"")</f>
      </c>
    </row>
    <row r="364" spans="1:12" s="8" customFormat="1" x14ac:dyDescent="0.25">
      <c r="A364" s="12"/>
      <c r="B364" s="10"/>
      <c r="C364" s="10"/>
      <c r="D364" s="10"/>
      <c r="E364" s="10"/>
      <c r="F364" s="10">
        <f>IF(AND(D364&lt;&gt;"",E364&lt;&gt;""),((TIMEVALUE(E364)-TIMEVALUE(D364))*24*60),"")</f>
      </c>
      <c r="G364" s="10"/>
      <c r="H364" s="10"/>
      <c r="I364" s="10">
        <f>IF(G364="","Pending",IF(G364&gt;=J364,"Accepted",IF(G364&gt;=(J364-Configuration!$C$5),"Tolerance","Refusal")))</f>
      </c>
      <c r="J364" s="10">
        <f>IFERROR(VLOOKUP(B364,'Plot Plan'!$A:$D,4,FALSE),"")</f>
      </c>
      <c r="K364" s="10">
        <f>IFERROR(VLOOKUP(B364,'Plot Plan'!$A:$B,2,FALSE),"")</f>
      </c>
      <c r="L364" s="10">
        <f>IFERROR(VLOOKUP(B364,'Plot Plan'!$A:$C,3,FALSE),"")</f>
      </c>
    </row>
    <row r="365" spans="1:12" x14ac:dyDescent="0.25">
      <c r="A365" s="13"/>
      <c r="B365" s="11"/>
      <c r="C365" s="11"/>
      <c r="D365" s="11"/>
      <c r="E365" s="11"/>
      <c r="F365" s="11">
        <f>IF(AND(D365&lt;&gt;"",E365&lt;&gt;""),((TIMEVALUE(E365)-TIMEVALUE(D365))*24*60),"")</f>
      </c>
      <c r="G365" s="11"/>
      <c r="H365" s="11"/>
      <c r="I365" s="11">
        <f>IF(G365="","Pending",IF(G365&gt;=J365,"Accepted",IF(G365&gt;=(J365-Configuration!$C$5),"Tolerance","Refusal")))</f>
      </c>
      <c r="J365" s="11">
        <f>IFERROR(VLOOKUP(B365,'Plot Plan'!$A:$D,4,FALSE),"")</f>
      </c>
      <c r="K365" s="11">
        <f>IFERROR(VLOOKUP(B365,'Plot Plan'!$A:$B,2,FALSE),"")</f>
      </c>
      <c r="L365" s="11">
        <f>IFERROR(VLOOKUP(B365,'Plot Plan'!$A:$C,3,FALSE),"")</f>
      </c>
    </row>
    <row r="366" spans="1:12" s="8" customFormat="1" x14ac:dyDescent="0.25">
      <c r="A366" s="12"/>
      <c r="B366" s="10"/>
      <c r="C366" s="10"/>
      <c r="D366" s="10"/>
      <c r="E366" s="10"/>
      <c r="F366" s="10">
        <f>IF(AND(D366&lt;&gt;"",E366&lt;&gt;""),((TIMEVALUE(E366)-TIMEVALUE(D366))*24*60),"")</f>
      </c>
      <c r="G366" s="10"/>
      <c r="H366" s="10"/>
      <c r="I366" s="10">
        <f>IF(G366="","Pending",IF(G366&gt;=J366,"Accepted",IF(G366&gt;=(J366-Configuration!$C$5),"Tolerance","Refusal")))</f>
      </c>
      <c r="J366" s="10">
        <f>IFERROR(VLOOKUP(B366,'Plot Plan'!$A:$D,4,FALSE),"")</f>
      </c>
      <c r="K366" s="10">
        <f>IFERROR(VLOOKUP(B366,'Plot Plan'!$A:$B,2,FALSE),"")</f>
      </c>
      <c r="L366" s="10">
        <f>IFERROR(VLOOKUP(B366,'Plot Plan'!$A:$C,3,FALSE),"")</f>
      </c>
    </row>
    <row r="367" spans="1:12" x14ac:dyDescent="0.25">
      <c r="A367" s="13"/>
      <c r="B367" s="11"/>
      <c r="C367" s="11"/>
      <c r="D367" s="11"/>
      <c r="E367" s="11"/>
      <c r="F367" s="11">
        <f>IF(AND(D367&lt;&gt;"",E367&lt;&gt;""),((TIMEVALUE(E367)-TIMEVALUE(D367))*24*60),"")</f>
      </c>
      <c r="G367" s="11"/>
      <c r="H367" s="11"/>
      <c r="I367" s="11">
        <f>IF(G367="","Pending",IF(G367&gt;=J367,"Accepted",IF(G367&gt;=(J367-Configuration!$C$5),"Tolerance","Refusal")))</f>
      </c>
      <c r="J367" s="11">
        <f>IFERROR(VLOOKUP(B367,'Plot Plan'!$A:$D,4,FALSE),"")</f>
      </c>
      <c r="K367" s="11">
        <f>IFERROR(VLOOKUP(B367,'Plot Plan'!$A:$B,2,FALSE),"")</f>
      </c>
      <c r="L367" s="11">
        <f>IFERROR(VLOOKUP(B367,'Plot Plan'!$A:$C,3,FALSE),"")</f>
      </c>
    </row>
    <row r="368" spans="1:12" s="8" customFormat="1" x14ac:dyDescent="0.25">
      <c r="A368" s="12"/>
      <c r="B368" s="10"/>
      <c r="C368" s="10"/>
      <c r="D368" s="10"/>
      <c r="E368" s="10"/>
      <c r="F368" s="10">
        <f>IF(AND(D368&lt;&gt;"",E368&lt;&gt;""),((TIMEVALUE(E368)-TIMEVALUE(D368))*24*60),"")</f>
      </c>
      <c r="G368" s="10"/>
      <c r="H368" s="10"/>
      <c r="I368" s="10">
        <f>IF(G368="","Pending",IF(G368&gt;=J368,"Accepted",IF(G368&gt;=(J368-Configuration!$C$5),"Tolerance","Refusal")))</f>
      </c>
      <c r="J368" s="10">
        <f>IFERROR(VLOOKUP(B368,'Plot Plan'!$A:$D,4,FALSE),"")</f>
      </c>
      <c r="K368" s="10">
        <f>IFERROR(VLOOKUP(B368,'Plot Plan'!$A:$B,2,FALSE),"")</f>
      </c>
      <c r="L368" s="10">
        <f>IFERROR(VLOOKUP(B368,'Plot Plan'!$A:$C,3,FALSE),"")</f>
      </c>
    </row>
    <row r="369" spans="1:12" x14ac:dyDescent="0.25">
      <c r="A369" s="13"/>
      <c r="B369" s="11"/>
      <c r="C369" s="11"/>
      <c r="D369" s="11"/>
      <c r="E369" s="11"/>
      <c r="F369" s="11">
        <f>IF(AND(D369&lt;&gt;"",E369&lt;&gt;""),((TIMEVALUE(E369)-TIMEVALUE(D369))*24*60),"")</f>
      </c>
      <c r="G369" s="11"/>
      <c r="H369" s="11"/>
      <c r="I369" s="11">
        <f>IF(G369="","Pending",IF(G369&gt;=J369,"Accepted",IF(G369&gt;=(J369-Configuration!$C$5),"Tolerance","Refusal")))</f>
      </c>
      <c r="J369" s="11">
        <f>IFERROR(VLOOKUP(B369,'Plot Plan'!$A:$D,4,FALSE),"")</f>
      </c>
      <c r="K369" s="11">
        <f>IFERROR(VLOOKUP(B369,'Plot Plan'!$A:$B,2,FALSE),"")</f>
      </c>
      <c r="L369" s="11">
        <f>IFERROR(VLOOKUP(B369,'Plot Plan'!$A:$C,3,FALSE),"")</f>
      </c>
    </row>
    <row r="370" spans="1:12" s="8" customFormat="1" x14ac:dyDescent="0.25">
      <c r="A370" s="12"/>
      <c r="B370" s="10"/>
      <c r="C370" s="10"/>
      <c r="D370" s="10"/>
      <c r="E370" s="10"/>
      <c r="F370" s="10">
        <f>IF(AND(D370&lt;&gt;"",E370&lt;&gt;""),((TIMEVALUE(E370)-TIMEVALUE(D370))*24*60),"")</f>
      </c>
      <c r="G370" s="10"/>
      <c r="H370" s="10"/>
      <c r="I370" s="10">
        <f>IF(G370="","Pending",IF(G370&gt;=J370,"Accepted",IF(G370&gt;=(J370-Configuration!$C$5),"Tolerance","Refusal")))</f>
      </c>
      <c r="J370" s="10">
        <f>IFERROR(VLOOKUP(B370,'Plot Plan'!$A:$D,4,FALSE),"")</f>
      </c>
      <c r="K370" s="10">
        <f>IFERROR(VLOOKUP(B370,'Plot Plan'!$A:$B,2,FALSE),"")</f>
      </c>
      <c r="L370" s="10">
        <f>IFERROR(VLOOKUP(B370,'Plot Plan'!$A:$C,3,FALSE),"")</f>
      </c>
    </row>
    <row r="371" spans="1:12" x14ac:dyDescent="0.25">
      <c r="A371" s="13"/>
      <c r="B371" s="11"/>
      <c r="C371" s="11"/>
      <c r="D371" s="11"/>
      <c r="E371" s="11"/>
      <c r="F371" s="11">
        <f>IF(AND(D371&lt;&gt;"",E371&lt;&gt;""),((TIMEVALUE(E371)-TIMEVALUE(D371))*24*60),"")</f>
      </c>
      <c r="G371" s="11"/>
      <c r="H371" s="11"/>
      <c r="I371" s="11">
        <f>IF(G371="","Pending",IF(G371&gt;=J371,"Accepted",IF(G371&gt;=(J371-Configuration!$C$5),"Tolerance","Refusal")))</f>
      </c>
      <c r="J371" s="11">
        <f>IFERROR(VLOOKUP(B371,'Plot Plan'!$A:$D,4,FALSE),"")</f>
      </c>
      <c r="K371" s="11">
        <f>IFERROR(VLOOKUP(B371,'Plot Plan'!$A:$B,2,FALSE),"")</f>
      </c>
      <c r="L371" s="11">
        <f>IFERROR(VLOOKUP(B371,'Plot Plan'!$A:$C,3,FALSE),"")</f>
      </c>
    </row>
    <row r="372" spans="1:12" s="8" customFormat="1" x14ac:dyDescent="0.25">
      <c r="A372" s="12"/>
      <c r="B372" s="10"/>
      <c r="C372" s="10"/>
      <c r="D372" s="10"/>
      <c r="E372" s="10"/>
      <c r="F372" s="10">
        <f>IF(AND(D372&lt;&gt;"",E372&lt;&gt;""),((TIMEVALUE(E372)-TIMEVALUE(D372))*24*60),"")</f>
      </c>
      <c r="G372" s="10"/>
      <c r="H372" s="10"/>
      <c r="I372" s="10">
        <f>IF(G372="","Pending",IF(G372&gt;=J372,"Accepted",IF(G372&gt;=(J372-Configuration!$C$5),"Tolerance","Refusal")))</f>
      </c>
      <c r="J372" s="10">
        <f>IFERROR(VLOOKUP(B372,'Plot Plan'!$A:$D,4,FALSE),"")</f>
      </c>
      <c r="K372" s="10">
        <f>IFERROR(VLOOKUP(B372,'Plot Plan'!$A:$B,2,FALSE),"")</f>
      </c>
      <c r="L372" s="10">
        <f>IFERROR(VLOOKUP(B372,'Plot Plan'!$A:$C,3,FALSE),"")</f>
      </c>
    </row>
    <row r="373" spans="1:12" x14ac:dyDescent="0.25">
      <c r="A373" s="13"/>
      <c r="B373" s="11"/>
      <c r="C373" s="11"/>
      <c r="D373" s="11"/>
      <c r="E373" s="11"/>
      <c r="F373" s="11">
        <f>IF(AND(D373&lt;&gt;"",E373&lt;&gt;""),((TIMEVALUE(E373)-TIMEVALUE(D373))*24*60),"")</f>
      </c>
      <c r="G373" s="11"/>
      <c r="H373" s="11"/>
      <c r="I373" s="11">
        <f>IF(G373="","Pending",IF(G373&gt;=J373,"Accepted",IF(G373&gt;=(J373-Configuration!$C$5),"Tolerance","Refusal")))</f>
      </c>
      <c r="J373" s="11">
        <f>IFERROR(VLOOKUP(B373,'Plot Plan'!$A:$D,4,FALSE),"")</f>
      </c>
      <c r="K373" s="11">
        <f>IFERROR(VLOOKUP(B373,'Plot Plan'!$A:$B,2,FALSE),"")</f>
      </c>
      <c r="L373" s="11">
        <f>IFERROR(VLOOKUP(B373,'Plot Plan'!$A:$C,3,FALSE),"")</f>
      </c>
    </row>
    <row r="374" spans="1:12" s="8" customFormat="1" x14ac:dyDescent="0.25">
      <c r="A374" s="12"/>
      <c r="B374" s="10"/>
      <c r="C374" s="10"/>
      <c r="D374" s="10"/>
      <c r="E374" s="10"/>
      <c r="F374" s="10">
        <f>IF(AND(D374&lt;&gt;"",E374&lt;&gt;""),((TIMEVALUE(E374)-TIMEVALUE(D374))*24*60),"")</f>
      </c>
      <c r="G374" s="10"/>
      <c r="H374" s="10"/>
      <c r="I374" s="10">
        <f>IF(G374="","Pending",IF(G374&gt;=J374,"Accepted",IF(G374&gt;=(J374-Configuration!$C$5),"Tolerance","Refusal")))</f>
      </c>
      <c r="J374" s="10">
        <f>IFERROR(VLOOKUP(B374,'Plot Plan'!$A:$D,4,FALSE),"")</f>
      </c>
      <c r="K374" s="10">
        <f>IFERROR(VLOOKUP(B374,'Plot Plan'!$A:$B,2,FALSE),"")</f>
      </c>
      <c r="L374" s="10">
        <f>IFERROR(VLOOKUP(B374,'Plot Plan'!$A:$C,3,FALSE),"")</f>
      </c>
    </row>
    <row r="375" spans="1:12" x14ac:dyDescent="0.25">
      <c r="A375" s="13"/>
      <c r="B375" s="11"/>
      <c r="C375" s="11"/>
      <c r="D375" s="11"/>
      <c r="E375" s="11"/>
      <c r="F375" s="11">
        <f>IF(AND(D375&lt;&gt;"",E375&lt;&gt;""),((TIMEVALUE(E375)-TIMEVALUE(D375))*24*60),"")</f>
      </c>
      <c r="G375" s="11"/>
      <c r="H375" s="11"/>
      <c r="I375" s="11">
        <f>IF(G375="","Pending",IF(G375&gt;=J375,"Accepted",IF(G375&gt;=(J375-Configuration!$C$5),"Tolerance","Refusal")))</f>
      </c>
      <c r="J375" s="11">
        <f>IFERROR(VLOOKUP(B375,'Plot Plan'!$A:$D,4,FALSE),"")</f>
      </c>
      <c r="K375" s="11">
        <f>IFERROR(VLOOKUP(B375,'Plot Plan'!$A:$B,2,FALSE),"")</f>
      </c>
      <c r="L375" s="11">
        <f>IFERROR(VLOOKUP(B375,'Plot Plan'!$A:$C,3,FALSE),"")</f>
      </c>
    </row>
    <row r="376" spans="1:12" s="8" customFormat="1" x14ac:dyDescent="0.25">
      <c r="A376" s="12"/>
      <c r="B376" s="10"/>
      <c r="C376" s="10"/>
      <c r="D376" s="10"/>
      <c r="E376" s="10"/>
      <c r="F376" s="10">
        <f>IF(AND(D376&lt;&gt;"",E376&lt;&gt;""),((TIMEVALUE(E376)-TIMEVALUE(D376))*24*60),"")</f>
      </c>
      <c r="G376" s="10"/>
      <c r="H376" s="10"/>
      <c r="I376" s="10">
        <f>IF(G376="","Pending",IF(G376&gt;=J376,"Accepted",IF(G376&gt;=(J376-Configuration!$C$5),"Tolerance","Refusal")))</f>
      </c>
      <c r="J376" s="10">
        <f>IFERROR(VLOOKUP(B376,'Plot Plan'!$A:$D,4,FALSE),"")</f>
      </c>
      <c r="K376" s="10">
        <f>IFERROR(VLOOKUP(B376,'Plot Plan'!$A:$B,2,FALSE),"")</f>
      </c>
      <c r="L376" s="10">
        <f>IFERROR(VLOOKUP(B376,'Plot Plan'!$A:$C,3,FALSE),"")</f>
      </c>
    </row>
    <row r="377" spans="1:12" x14ac:dyDescent="0.25">
      <c r="A377" s="13"/>
      <c r="B377" s="11"/>
      <c r="C377" s="11"/>
      <c r="D377" s="11"/>
      <c r="E377" s="11"/>
      <c r="F377" s="11">
        <f>IF(AND(D377&lt;&gt;"",E377&lt;&gt;""),((TIMEVALUE(E377)-TIMEVALUE(D377))*24*60),"")</f>
      </c>
      <c r="G377" s="11"/>
      <c r="H377" s="11"/>
      <c r="I377" s="11">
        <f>IF(G377="","Pending",IF(G377&gt;=J377,"Accepted",IF(G377&gt;=(J377-Configuration!$C$5),"Tolerance","Refusal")))</f>
      </c>
      <c r="J377" s="11">
        <f>IFERROR(VLOOKUP(B377,'Plot Plan'!$A:$D,4,FALSE),"")</f>
      </c>
      <c r="K377" s="11">
        <f>IFERROR(VLOOKUP(B377,'Plot Plan'!$A:$B,2,FALSE),"")</f>
      </c>
      <c r="L377" s="11">
        <f>IFERROR(VLOOKUP(B377,'Plot Plan'!$A:$C,3,FALSE),"")</f>
      </c>
    </row>
    <row r="378" spans="1:12" s="8" customFormat="1" x14ac:dyDescent="0.25">
      <c r="A378" s="12"/>
      <c r="B378" s="10"/>
      <c r="C378" s="10"/>
      <c r="D378" s="10"/>
      <c r="E378" s="10"/>
      <c r="F378" s="10">
        <f>IF(AND(D378&lt;&gt;"",E378&lt;&gt;""),((TIMEVALUE(E378)-TIMEVALUE(D378))*24*60),"")</f>
      </c>
      <c r="G378" s="10"/>
      <c r="H378" s="10"/>
      <c r="I378" s="10">
        <f>IF(G378="","Pending",IF(G378&gt;=J378,"Accepted",IF(G378&gt;=(J378-Configuration!$C$5),"Tolerance","Refusal")))</f>
      </c>
      <c r="J378" s="10">
        <f>IFERROR(VLOOKUP(B378,'Plot Plan'!$A:$D,4,FALSE),"")</f>
      </c>
      <c r="K378" s="10">
        <f>IFERROR(VLOOKUP(B378,'Plot Plan'!$A:$B,2,FALSE),"")</f>
      </c>
      <c r="L378" s="10">
        <f>IFERROR(VLOOKUP(B378,'Plot Plan'!$A:$C,3,FALSE),"")</f>
      </c>
    </row>
    <row r="379" spans="1:12" x14ac:dyDescent="0.25">
      <c r="A379" s="13"/>
      <c r="B379" s="11"/>
      <c r="C379" s="11"/>
      <c r="D379" s="11"/>
      <c r="E379" s="11"/>
      <c r="F379" s="11">
        <f>IF(AND(D379&lt;&gt;"",E379&lt;&gt;""),((TIMEVALUE(E379)-TIMEVALUE(D379))*24*60),"")</f>
      </c>
      <c r="G379" s="11"/>
      <c r="H379" s="11"/>
      <c r="I379" s="11">
        <f>IF(G379="","Pending",IF(G379&gt;=J379,"Accepted",IF(G379&gt;=(J379-Configuration!$C$5),"Tolerance","Refusal")))</f>
      </c>
      <c r="J379" s="11">
        <f>IFERROR(VLOOKUP(B379,'Plot Plan'!$A:$D,4,FALSE),"")</f>
      </c>
      <c r="K379" s="11">
        <f>IFERROR(VLOOKUP(B379,'Plot Plan'!$A:$B,2,FALSE),"")</f>
      </c>
      <c r="L379" s="11">
        <f>IFERROR(VLOOKUP(B379,'Plot Plan'!$A:$C,3,FALSE),"")</f>
      </c>
    </row>
    <row r="380" spans="1:12" s="8" customFormat="1" x14ac:dyDescent="0.25">
      <c r="A380" s="12"/>
      <c r="B380" s="10"/>
      <c r="C380" s="10"/>
      <c r="D380" s="10"/>
      <c r="E380" s="10"/>
      <c r="F380" s="10">
        <f>IF(AND(D380&lt;&gt;"",E380&lt;&gt;""),((TIMEVALUE(E380)-TIMEVALUE(D380))*24*60),"")</f>
      </c>
      <c r="G380" s="10"/>
      <c r="H380" s="10"/>
      <c r="I380" s="10">
        <f>IF(G380="","Pending",IF(G380&gt;=J380,"Accepted",IF(G380&gt;=(J380-Configuration!$C$5),"Tolerance","Refusal")))</f>
      </c>
      <c r="J380" s="10">
        <f>IFERROR(VLOOKUP(B380,'Plot Plan'!$A:$D,4,FALSE),"")</f>
      </c>
      <c r="K380" s="10">
        <f>IFERROR(VLOOKUP(B380,'Plot Plan'!$A:$B,2,FALSE),"")</f>
      </c>
      <c r="L380" s="10">
        <f>IFERROR(VLOOKUP(B380,'Plot Plan'!$A:$C,3,FALSE),"")</f>
      </c>
    </row>
    <row r="381" spans="1:12" x14ac:dyDescent="0.25">
      <c r="A381" s="13"/>
      <c r="B381" s="11"/>
      <c r="C381" s="11"/>
      <c r="D381" s="11"/>
      <c r="E381" s="11"/>
      <c r="F381" s="11">
        <f>IF(AND(D381&lt;&gt;"",E381&lt;&gt;""),((TIMEVALUE(E381)-TIMEVALUE(D381))*24*60),"")</f>
      </c>
      <c r="G381" s="11"/>
      <c r="H381" s="11"/>
      <c r="I381" s="11">
        <f>IF(G381="","Pending",IF(G381&gt;=J381,"Accepted",IF(G381&gt;=(J381-Configuration!$C$5),"Tolerance","Refusal")))</f>
      </c>
      <c r="J381" s="11">
        <f>IFERROR(VLOOKUP(B381,'Plot Plan'!$A:$D,4,FALSE),"")</f>
      </c>
      <c r="K381" s="11">
        <f>IFERROR(VLOOKUP(B381,'Plot Plan'!$A:$B,2,FALSE),"")</f>
      </c>
      <c r="L381" s="11">
        <f>IFERROR(VLOOKUP(B381,'Plot Plan'!$A:$C,3,FALSE),"")</f>
      </c>
    </row>
    <row r="382" spans="1:12" s="8" customFormat="1" x14ac:dyDescent="0.25">
      <c r="A382" s="12"/>
      <c r="B382" s="10"/>
      <c r="C382" s="10"/>
      <c r="D382" s="10"/>
      <c r="E382" s="10"/>
      <c r="F382" s="10">
        <f>IF(AND(D382&lt;&gt;"",E382&lt;&gt;""),((TIMEVALUE(E382)-TIMEVALUE(D382))*24*60),"")</f>
      </c>
      <c r="G382" s="10"/>
      <c r="H382" s="10"/>
      <c r="I382" s="10">
        <f>IF(G382="","Pending",IF(G382&gt;=J382,"Accepted",IF(G382&gt;=(J382-Configuration!$C$5),"Tolerance","Refusal")))</f>
      </c>
      <c r="J382" s="10">
        <f>IFERROR(VLOOKUP(B382,'Plot Plan'!$A:$D,4,FALSE),"")</f>
      </c>
      <c r="K382" s="10">
        <f>IFERROR(VLOOKUP(B382,'Plot Plan'!$A:$B,2,FALSE),"")</f>
      </c>
      <c r="L382" s="10">
        <f>IFERROR(VLOOKUP(B382,'Plot Plan'!$A:$C,3,FALSE),"")</f>
      </c>
    </row>
    <row r="383" spans="1:12" x14ac:dyDescent="0.25">
      <c r="A383" s="13"/>
      <c r="B383" s="11"/>
      <c r="C383" s="11"/>
      <c r="D383" s="11"/>
      <c r="E383" s="11"/>
      <c r="F383" s="11">
        <f>IF(AND(D383&lt;&gt;"",E383&lt;&gt;""),((TIMEVALUE(E383)-TIMEVALUE(D383))*24*60),"")</f>
      </c>
      <c r="G383" s="11"/>
      <c r="H383" s="11"/>
      <c r="I383" s="11">
        <f>IF(G383="","Pending",IF(G383&gt;=J383,"Accepted",IF(G383&gt;=(J383-Configuration!$C$5),"Tolerance","Refusal")))</f>
      </c>
      <c r="J383" s="11">
        <f>IFERROR(VLOOKUP(B383,'Plot Plan'!$A:$D,4,FALSE),"")</f>
      </c>
      <c r="K383" s="11">
        <f>IFERROR(VLOOKUP(B383,'Plot Plan'!$A:$B,2,FALSE),"")</f>
      </c>
      <c r="L383" s="11">
        <f>IFERROR(VLOOKUP(B383,'Plot Plan'!$A:$C,3,FALSE),"")</f>
      </c>
    </row>
    <row r="384" spans="1:12" s="8" customFormat="1" x14ac:dyDescent="0.25">
      <c r="A384" s="12"/>
      <c r="B384" s="10"/>
      <c r="C384" s="10"/>
      <c r="D384" s="10"/>
      <c r="E384" s="10"/>
      <c r="F384" s="10">
        <f>IF(AND(D384&lt;&gt;"",E384&lt;&gt;""),((TIMEVALUE(E384)-TIMEVALUE(D384))*24*60),"")</f>
      </c>
      <c r="G384" s="10"/>
      <c r="H384" s="10"/>
      <c r="I384" s="10">
        <f>IF(G384="","Pending",IF(G384&gt;=J384,"Accepted",IF(G384&gt;=(J384-Configuration!$C$5),"Tolerance","Refusal")))</f>
      </c>
      <c r="J384" s="10">
        <f>IFERROR(VLOOKUP(B384,'Plot Plan'!$A:$D,4,FALSE),"")</f>
      </c>
      <c r="K384" s="10">
        <f>IFERROR(VLOOKUP(B384,'Plot Plan'!$A:$B,2,FALSE),"")</f>
      </c>
      <c r="L384" s="10">
        <f>IFERROR(VLOOKUP(B384,'Plot Plan'!$A:$C,3,FALSE),"")</f>
      </c>
    </row>
    <row r="385" spans="1:12" x14ac:dyDescent="0.25">
      <c r="A385" s="13"/>
      <c r="B385" s="11"/>
      <c r="C385" s="11"/>
      <c r="D385" s="11"/>
      <c r="E385" s="11"/>
      <c r="F385" s="11">
        <f>IF(AND(D385&lt;&gt;"",E385&lt;&gt;""),((TIMEVALUE(E385)-TIMEVALUE(D385))*24*60),"")</f>
      </c>
      <c r="G385" s="11"/>
      <c r="H385" s="11"/>
      <c r="I385" s="11">
        <f>IF(G385="","Pending",IF(G385&gt;=J385,"Accepted",IF(G385&gt;=(J385-Configuration!$C$5),"Tolerance","Refusal")))</f>
      </c>
      <c r="J385" s="11">
        <f>IFERROR(VLOOKUP(B385,'Plot Plan'!$A:$D,4,FALSE),"")</f>
      </c>
      <c r="K385" s="11">
        <f>IFERROR(VLOOKUP(B385,'Plot Plan'!$A:$B,2,FALSE),"")</f>
      </c>
      <c r="L385" s="11">
        <f>IFERROR(VLOOKUP(B385,'Plot Plan'!$A:$C,3,FALSE),"")</f>
      </c>
    </row>
    <row r="386" spans="1:12" s="8" customFormat="1" x14ac:dyDescent="0.25">
      <c r="A386" s="12"/>
      <c r="B386" s="10"/>
      <c r="C386" s="10"/>
      <c r="D386" s="10"/>
      <c r="E386" s="10"/>
      <c r="F386" s="10">
        <f>IF(AND(D386&lt;&gt;"",E386&lt;&gt;""),((TIMEVALUE(E386)-TIMEVALUE(D386))*24*60),"")</f>
      </c>
      <c r="G386" s="10"/>
      <c r="H386" s="10"/>
      <c r="I386" s="10">
        <f>IF(G386="","Pending",IF(G386&gt;=J386,"Accepted",IF(G386&gt;=(J386-Configuration!$C$5),"Tolerance","Refusal")))</f>
      </c>
      <c r="J386" s="10">
        <f>IFERROR(VLOOKUP(B386,'Plot Plan'!$A:$D,4,FALSE),"")</f>
      </c>
      <c r="K386" s="10">
        <f>IFERROR(VLOOKUP(B386,'Plot Plan'!$A:$B,2,FALSE),"")</f>
      </c>
      <c r="L386" s="10">
        <f>IFERROR(VLOOKUP(B386,'Plot Plan'!$A:$C,3,FALSE),"")</f>
      </c>
    </row>
    <row r="387" spans="1:12" x14ac:dyDescent="0.25">
      <c r="A387" s="13"/>
      <c r="B387" s="11"/>
      <c r="C387" s="11"/>
      <c r="D387" s="11"/>
      <c r="E387" s="11"/>
      <c r="F387" s="11">
        <f>IF(AND(D387&lt;&gt;"",E387&lt;&gt;""),((TIMEVALUE(E387)-TIMEVALUE(D387))*24*60),"")</f>
      </c>
      <c r="G387" s="11"/>
      <c r="H387" s="11"/>
      <c r="I387" s="11">
        <f>IF(G387="","Pending",IF(G387&gt;=J387,"Accepted",IF(G387&gt;=(J387-Configuration!$C$5),"Tolerance","Refusal")))</f>
      </c>
      <c r="J387" s="11">
        <f>IFERROR(VLOOKUP(B387,'Plot Plan'!$A:$D,4,FALSE),"")</f>
      </c>
      <c r="K387" s="11">
        <f>IFERROR(VLOOKUP(B387,'Plot Plan'!$A:$B,2,FALSE),"")</f>
      </c>
      <c r="L387" s="11">
        <f>IFERROR(VLOOKUP(B387,'Plot Plan'!$A:$C,3,FALSE),"")</f>
      </c>
    </row>
    <row r="388" spans="1:12" s="8" customFormat="1" x14ac:dyDescent="0.25">
      <c r="A388" s="12"/>
      <c r="B388" s="10"/>
      <c r="C388" s="10"/>
      <c r="D388" s="10"/>
      <c r="E388" s="10"/>
      <c r="F388" s="10">
        <f>IF(AND(D388&lt;&gt;"",E388&lt;&gt;""),((TIMEVALUE(E388)-TIMEVALUE(D388))*24*60),"")</f>
      </c>
      <c r="G388" s="10"/>
      <c r="H388" s="10"/>
      <c r="I388" s="10">
        <f>IF(G388="","Pending",IF(G388&gt;=J388,"Accepted",IF(G388&gt;=(J388-Configuration!$C$5),"Tolerance","Refusal")))</f>
      </c>
      <c r="J388" s="10">
        <f>IFERROR(VLOOKUP(B388,'Plot Plan'!$A:$D,4,FALSE),"")</f>
      </c>
      <c r="K388" s="10">
        <f>IFERROR(VLOOKUP(B388,'Plot Plan'!$A:$B,2,FALSE),"")</f>
      </c>
      <c r="L388" s="10">
        <f>IFERROR(VLOOKUP(B388,'Plot Plan'!$A:$C,3,FALSE),"")</f>
      </c>
    </row>
    <row r="389" spans="1:12" x14ac:dyDescent="0.25">
      <c r="A389" s="13"/>
      <c r="B389" s="11"/>
      <c r="C389" s="11"/>
      <c r="D389" s="11"/>
      <c r="E389" s="11"/>
      <c r="F389" s="11">
        <f>IF(AND(D389&lt;&gt;"",E389&lt;&gt;""),((TIMEVALUE(E389)-TIMEVALUE(D389))*24*60),"")</f>
      </c>
      <c r="G389" s="11"/>
      <c r="H389" s="11"/>
      <c r="I389" s="11">
        <f>IF(G389="","Pending",IF(G389&gt;=J389,"Accepted",IF(G389&gt;=(J389-Configuration!$C$5),"Tolerance","Refusal")))</f>
      </c>
      <c r="J389" s="11">
        <f>IFERROR(VLOOKUP(B389,'Plot Plan'!$A:$D,4,FALSE),"")</f>
      </c>
      <c r="K389" s="11">
        <f>IFERROR(VLOOKUP(B389,'Plot Plan'!$A:$B,2,FALSE),"")</f>
      </c>
      <c r="L389" s="11">
        <f>IFERROR(VLOOKUP(B389,'Plot Plan'!$A:$C,3,FALSE),"")</f>
      </c>
    </row>
    <row r="390" spans="1:12" s="8" customFormat="1" x14ac:dyDescent="0.25">
      <c r="A390" s="12"/>
      <c r="B390" s="10"/>
      <c r="C390" s="10"/>
      <c r="D390" s="10"/>
      <c r="E390" s="10"/>
      <c r="F390" s="10">
        <f>IF(AND(D390&lt;&gt;"",E390&lt;&gt;""),((TIMEVALUE(E390)-TIMEVALUE(D390))*24*60),"")</f>
      </c>
      <c r="G390" s="10"/>
      <c r="H390" s="10"/>
      <c r="I390" s="10">
        <f>IF(G390="","Pending",IF(G390&gt;=J390,"Accepted",IF(G390&gt;=(J390-Configuration!$C$5),"Tolerance","Refusal")))</f>
      </c>
      <c r="J390" s="10">
        <f>IFERROR(VLOOKUP(B390,'Plot Plan'!$A:$D,4,FALSE),"")</f>
      </c>
      <c r="K390" s="10">
        <f>IFERROR(VLOOKUP(B390,'Plot Plan'!$A:$B,2,FALSE),"")</f>
      </c>
      <c r="L390" s="10">
        <f>IFERROR(VLOOKUP(B390,'Plot Plan'!$A:$C,3,FALSE),"")</f>
      </c>
    </row>
    <row r="391" spans="1:12" x14ac:dyDescent="0.25">
      <c r="A391" s="13"/>
      <c r="B391" s="11"/>
      <c r="C391" s="11"/>
      <c r="D391" s="11"/>
      <c r="E391" s="11"/>
      <c r="F391" s="11">
        <f>IF(AND(D391&lt;&gt;"",E391&lt;&gt;""),((TIMEVALUE(E391)-TIMEVALUE(D391))*24*60),"")</f>
      </c>
      <c r="G391" s="11"/>
      <c r="H391" s="11"/>
      <c r="I391" s="11">
        <f>IF(G391="","Pending",IF(G391&gt;=J391,"Accepted",IF(G391&gt;=(J391-Configuration!$C$5),"Tolerance","Refusal")))</f>
      </c>
      <c r="J391" s="11">
        <f>IFERROR(VLOOKUP(B391,'Plot Plan'!$A:$D,4,FALSE),"")</f>
      </c>
      <c r="K391" s="11">
        <f>IFERROR(VLOOKUP(B391,'Plot Plan'!$A:$B,2,FALSE),"")</f>
      </c>
      <c r="L391" s="11">
        <f>IFERROR(VLOOKUP(B391,'Plot Plan'!$A:$C,3,FALSE),"")</f>
      </c>
    </row>
    <row r="392" spans="1:12" s="8" customFormat="1" x14ac:dyDescent="0.25">
      <c r="A392" s="12"/>
      <c r="B392" s="10"/>
      <c r="C392" s="10"/>
      <c r="D392" s="10"/>
      <c r="E392" s="10"/>
      <c r="F392" s="10">
        <f>IF(AND(D392&lt;&gt;"",E392&lt;&gt;""),((TIMEVALUE(E392)-TIMEVALUE(D392))*24*60),"")</f>
      </c>
      <c r="G392" s="10"/>
      <c r="H392" s="10"/>
      <c r="I392" s="10">
        <f>IF(G392="","Pending",IF(G392&gt;=J392,"Accepted",IF(G392&gt;=(J392-Configuration!$C$5),"Tolerance","Refusal")))</f>
      </c>
      <c r="J392" s="10">
        <f>IFERROR(VLOOKUP(B392,'Plot Plan'!$A:$D,4,FALSE),"")</f>
      </c>
      <c r="K392" s="10">
        <f>IFERROR(VLOOKUP(B392,'Plot Plan'!$A:$B,2,FALSE),"")</f>
      </c>
      <c r="L392" s="10">
        <f>IFERROR(VLOOKUP(B392,'Plot Plan'!$A:$C,3,FALSE),"")</f>
      </c>
    </row>
    <row r="393" spans="1:12" x14ac:dyDescent="0.25">
      <c r="A393" s="13"/>
      <c r="B393" s="11"/>
      <c r="C393" s="11"/>
      <c r="D393" s="11"/>
      <c r="E393" s="11"/>
      <c r="F393" s="11">
        <f>IF(AND(D393&lt;&gt;"",E393&lt;&gt;""),((TIMEVALUE(E393)-TIMEVALUE(D393))*24*60),"")</f>
      </c>
      <c r="G393" s="11"/>
      <c r="H393" s="11"/>
      <c r="I393" s="11">
        <f>IF(G393="","Pending",IF(G393&gt;=J393,"Accepted",IF(G393&gt;=(J393-Configuration!$C$5),"Tolerance","Refusal")))</f>
      </c>
      <c r="J393" s="11">
        <f>IFERROR(VLOOKUP(B393,'Plot Plan'!$A:$D,4,FALSE),"")</f>
      </c>
      <c r="K393" s="11">
        <f>IFERROR(VLOOKUP(B393,'Plot Plan'!$A:$B,2,FALSE),"")</f>
      </c>
      <c r="L393" s="11">
        <f>IFERROR(VLOOKUP(B393,'Plot Plan'!$A:$C,3,FALSE),"")</f>
      </c>
    </row>
    <row r="394" spans="1:12" s="8" customFormat="1" x14ac:dyDescent="0.25">
      <c r="A394" s="12"/>
      <c r="B394" s="10"/>
      <c r="C394" s="10"/>
      <c r="D394" s="10"/>
      <c r="E394" s="10"/>
      <c r="F394" s="10">
        <f>IF(AND(D394&lt;&gt;"",E394&lt;&gt;""),((TIMEVALUE(E394)-TIMEVALUE(D394))*24*60),"")</f>
      </c>
      <c r="G394" s="10"/>
      <c r="H394" s="10"/>
      <c r="I394" s="10">
        <f>IF(G394="","Pending",IF(G394&gt;=J394,"Accepted",IF(G394&gt;=(J394-Configuration!$C$5),"Tolerance","Refusal")))</f>
      </c>
      <c r="J394" s="10">
        <f>IFERROR(VLOOKUP(B394,'Plot Plan'!$A:$D,4,FALSE),"")</f>
      </c>
      <c r="K394" s="10">
        <f>IFERROR(VLOOKUP(B394,'Plot Plan'!$A:$B,2,FALSE),"")</f>
      </c>
      <c r="L394" s="10">
        <f>IFERROR(VLOOKUP(B394,'Plot Plan'!$A:$C,3,FALSE),"")</f>
      </c>
    </row>
    <row r="395" spans="1:12" x14ac:dyDescent="0.25">
      <c r="A395" s="13"/>
      <c r="B395" s="11"/>
      <c r="C395" s="11"/>
      <c r="D395" s="11"/>
      <c r="E395" s="11"/>
      <c r="F395" s="11">
        <f>IF(AND(D395&lt;&gt;"",E395&lt;&gt;""),((TIMEVALUE(E395)-TIMEVALUE(D395))*24*60),"")</f>
      </c>
      <c r="G395" s="11"/>
      <c r="H395" s="11"/>
      <c r="I395" s="11">
        <f>IF(G395="","Pending",IF(G395&gt;=J395,"Accepted",IF(G395&gt;=(J395-Configuration!$C$5),"Tolerance","Refusal")))</f>
      </c>
      <c r="J395" s="11">
        <f>IFERROR(VLOOKUP(B395,'Plot Plan'!$A:$D,4,FALSE),"")</f>
      </c>
      <c r="K395" s="11">
        <f>IFERROR(VLOOKUP(B395,'Plot Plan'!$A:$B,2,FALSE),"")</f>
      </c>
      <c r="L395" s="11">
        <f>IFERROR(VLOOKUP(B395,'Plot Plan'!$A:$C,3,FALSE),"")</f>
      </c>
    </row>
    <row r="396" spans="1:12" s="8" customFormat="1" x14ac:dyDescent="0.25">
      <c r="A396" s="12"/>
      <c r="B396" s="10"/>
      <c r="C396" s="10"/>
      <c r="D396" s="10"/>
      <c r="E396" s="10"/>
      <c r="F396" s="10">
        <f>IF(AND(D396&lt;&gt;"",E396&lt;&gt;""),((TIMEVALUE(E396)-TIMEVALUE(D396))*24*60),"")</f>
      </c>
      <c r="G396" s="10"/>
      <c r="H396" s="10"/>
      <c r="I396" s="10">
        <f>IF(G396="","Pending",IF(G396&gt;=J396,"Accepted",IF(G396&gt;=(J396-Configuration!$C$5),"Tolerance","Refusal")))</f>
      </c>
      <c r="J396" s="10">
        <f>IFERROR(VLOOKUP(B396,'Plot Plan'!$A:$D,4,FALSE),"")</f>
      </c>
      <c r="K396" s="10">
        <f>IFERROR(VLOOKUP(B396,'Plot Plan'!$A:$B,2,FALSE),"")</f>
      </c>
      <c r="L396" s="10">
        <f>IFERROR(VLOOKUP(B396,'Plot Plan'!$A:$C,3,FALSE),"")</f>
      </c>
    </row>
    <row r="397" spans="1:12" x14ac:dyDescent="0.25">
      <c r="A397" s="13"/>
      <c r="B397" s="11"/>
      <c r="C397" s="11"/>
      <c r="D397" s="11"/>
      <c r="E397" s="11"/>
      <c r="F397" s="11">
        <f>IF(AND(D397&lt;&gt;"",E397&lt;&gt;""),((TIMEVALUE(E397)-TIMEVALUE(D397))*24*60),"")</f>
      </c>
      <c r="G397" s="11"/>
      <c r="H397" s="11"/>
      <c r="I397" s="11">
        <f>IF(G397="","Pending",IF(G397&gt;=J397,"Accepted",IF(G397&gt;=(J397-Configuration!$C$5),"Tolerance","Refusal")))</f>
      </c>
      <c r="J397" s="11">
        <f>IFERROR(VLOOKUP(B397,'Plot Plan'!$A:$D,4,FALSE),"")</f>
      </c>
      <c r="K397" s="11">
        <f>IFERROR(VLOOKUP(B397,'Plot Plan'!$A:$B,2,FALSE),"")</f>
      </c>
      <c r="L397" s="11">
        <f>IFERROR(VLOOKUP(B397,'Plot Plan'!$A:$C,3,FALSE),"")</f>
      </c>
    </row>
    <row r="398" spans="1:12" s="8" customFormat="1" x14ac:dyDescent="0.25">
      <c r="A398" s="12"/>
      <c r="B398" s="10"/>
      <c r="C398" s="10"/>
      <c r="D398" s="10"/>
      <c r="E398" s="10"/>
      <c r="F398" s="10">
        <f>IF(AND(D398&lt;&gt;"",E398&lt;&gt;""),((TIMEVALUE(E398)-TIMEVALUE(D398))*24*60),"")</f>
      </c>
      <c r="G398" s="10"/>
      <c r="H398" s="10"/>
      <c r="I398" s="10">
        <f>IF(G398="","Pending",IF(G398&gt;=J398,"Accepted",IF(G398&gt;=(J398-Configuration!$C$5),"Tolerance","Refusal")))</f>
      </c>
      <c r="J398" s="10">
        <f>IFERROR(VLOOKUP(B398,'Plot Plan'!$A:$D,4,FALSE),"")</f>
      </c>
      <c r="K398" s="10">
        <f>IFERROR(VLOOKUP(B398,'Plot Plan'!$A:$B,2,FALSE),"")</f>
      </c>
      <c r="L398" s="10">
        <f>IFERROR(VLOOKUP(B398,'Plot Plan'!$A:$C,3,FALSE),"")</f>
      </c>
    </row>
    <row r="399" spans="1:12" x14ac:dyDescent="0.25">
      <c r="A399" s="13"/>
      <c r="B399" s="11"/>
      <c r="C399" s="11"/>
      <c r="D399" s="11"/>
      <c r="E399" s="11"/>
      <c r="F399" s="11">
        <f>IF(AND(D399&lt;&gt;"",E399&lt;&gt;""),((TIMEVALUE(E399)-TIMEVALUE(D399))*24*60),"")</f>
      </c>
      <c r="G399" s="11"/>
      <c r="H399" s="11"/>
      <c r="I399" s="11">
        <f>IF(G399="","Pending",IF(G399&gt;=J399,"Accepted",IF(G399&gt;=(J399-Configuration!$C$5),"Tolerance","Refusal")))</f>
      </c>
      <c r="J399" s="11">
        <f>IFERROR(VLOOKUP(B399,'Plot Plan'!$A:$D,4,FALSE),"")</f>
      </c>
      <c r="K399" s="11">
        <f>IFERROR(VLOOKUP(B399,'Plot Plan'!$A:$B,2,FALSE),"")</f>
      </c>
      <c r="L399" s="11">
        <f>IFERROR(VLOOKUP(B399,'Plot Plan'!$A:$C,3,FALSE),"")</f>
      </c>
    </row>
    <row r="400" spans="1:12" s="8" customFormat="1" x14ac:dyDescent="0.25">
      <c r="A400" s="12"/>
      <c r="B400" s="10"/>
      <c r="C400" s="10"/>
      <c r="D400" s="10"/>
      <c r="E400" s="10"/>
      <c r="F400" s="10">
        <f>IF(AND(D400&lt;&gt;"",E400&lt;&gt;""),((TIMEVALUE(E400)-TIMEVALUE(D400))*24*60),"")</f>
      </c>
      <c r="G400" s="10"/>
      <c r="H400" s="10"/>
      <c r="I400" s="10">
        <f>IF(G400="","Pending",IF(G400&gt;=J400,"Accepted",IF(G400&gt;=(J400-Configuration!$C$5),"Tolerance","Refusal")))</f>
      </c>
      <c r="J400" s="10">
        <f>IFERROR(VLOOKUP(B400,'Plot Plan'!$A:$D,4,FALSE),"")</f>
      </c>
      <c r="K400" s="10">
        <f>IFERROR(VLOOKUP(B400,'Plot Plan'!$A:$B,2,FALSE),"")</f>
      </c>
      <c r="L400" s="10">
        <f>IFERROR(VLOOKUP(B400,'Plot Plan'!$A:$C,3,FALSE),"")</f>
      </c>
    </row>
    <row r="401" spans="1:12" x14ac:dyDescent="0.25">
      <c r="A401" s="13"/>
      <c r="B401" s="11"/>
      <c r="C401" s="11"/>
      <c r="D401" s="11"/>
      <c r="E401" s="11"/>
      <c r="F401" s="11">
        <f>IF(AND(D401&lt;&gt;"",E401&lt;&gt;""),((TIMEVALUE(E401)-TIMEVALUE(D401))*24*60),"")</f>
      </c>
      <c r="G401" s="11"/>
      <c r="H401" s="11"/>
      <c r="I401" s="11">
        <f>IF(G401="","Pending",IF(G401&gt;=J401,"Accepted",IF(G401&gt;=(J401-Configuration!$C$5),"Tolerance","Refusal")))</f>
      </c>
      <c r="J401" s="11">
        <f>IFERROR(VLOOKUP(B401,'Plot Plan'!$A:$D,4,FALSE),"")</f>
      </c>
      <c r="K401" s="11">
        <f>IFERROR(VLOOKUP(B401,'Plot Plan'!$A:$B,2,FALSE),"")</f>
      </c>
      <c r="L401" s="11">
        <f>IFERROR(VLOOKUP(B401,'Plot Plan'!$A:$C,3,FALSE),"")</f>
      </c>
    </row>
    <row r="402" spans="1:12" s="8" customFormat="1" x14ac:dyDescent="0.25">
      <c r="A402" s="12"/>
      <c r="B402" s="10"/>
      <c r="C402" s="10"/>
      <c r="D402" s="10"/>
      <c r="E402" s="10"/>
      <c r="F402" s="10">
        <f>IF(AND(D402&lt;&gt;"",E402&lt;&gt;""),((TIMEVALUE(E402)-TIMEVALUE(D402))*24*60),"")</f>
      </c>
      <c r="G402" s="10"/>
      <c r="H402" s="10"/>
      <c r="I402" s="10">
        <f>IF(G402="","Pending",IF(G402&gt;=J402,"Accepted",IF(G402&gt;=(J402-Configuration!$C$5),"Tolerance","Refusal")))</f>
      </c>
      <c r="J402" s="10">
        <f>IFERROR(VLOOKUP(B402,'Plot Plan'!$A:$D,4,FALSE),"")</f>
      </c>
      <c r="K402" s="10">
        <f>IFERROR(VLOOKUP(B402,'Plot Plan'!$A:$B,2,FALSE),"")</f>
      </c>
      <c r="L402" s="10">
        <f>IFERROR(VLOOKUP(B402,'Plot Plan'!$A:$C,3,FALSE),"")</f>
      </c>
    </row>
    <row r="403" spans="1:12" x14ac:dyDescent="0.25">
      <c r="A403" s="13"/>
      <c r="B403" s="11"/>
      <c r="C403" s="11"/>
      <c r="D403" s="11"/>
      <c r="E403" s="11"/>
      <c r="F403" s="11">
        <f>IF(AND(D403&lt;&gt;"",E403&lt;&gt;""),((TIMEVALUE(E403)-TIMEVALUE(D403))*24*60),"")</f>
      </c>
      <c r="G403" s="11"/>
      <c r="H403" s="11"/>
      <c r="I403" s="11">
        <f>IF(G403="","Pending",IF(G403&gt;=J403,"Accepted",IF(G403&gt;=(J403-Configuration!$C$5),"Tolerance","Refusal")))</f>
      </c>
      <c r="J403" s="11">
        <f>IFERROR(VLOOKUP(B403,'Plot Plan'!$A:$D,4,FALSE),"")</f>
      </c>
      <c r="K403" s="11">
        <f>IFERROR(VLOOKUP(B403,'Plot Plan'!$A:$B,2,FALSE),"")</f>
      </c>
      <c r="L403" s="11">
        <f>IFERROR(VLOOKUP(B403,'Plot Plan'!$A:$C,3,FALSE),"")</f>
      </c>
    </row>
    <row r="404" spans="1:12" s="8" customFormat="1" x14ac:dyDescent="0.25">
      <c r="A404" s="12"/>
      <c r="B404" s="10"/>
      <c r="C404" s="10"/>
      <c r="D404" s="10"/>
      <c r="E404" s="10"/>
      <c r="F404" s="10">
        <f>IF(AND(D404&lt;&gt;"",E404&lt;&gt;""),((TIMEVALUE(E404)-TIMEVALUE(D404))*24*60),"")</f>
      </c>
      <c r="G404" s="10"/>
      <c r="H404" s="10"/>
      <c r="I404" s="10">
        <f>IF(G404="","Pending",IF(G404&gt;=J404,"Accepted",IF(G404&gt;=(J404-Configuration!$C$5),"Tolerance","Refusal")))</f>
      </c>
      <c r="J404" s="10">
        <f>IFERROR(VLOOKUP(B404,'Plot Plan'!$A:$D,4,FALSE),"")</f>
      </c>
      <c r="K404" s="10">
        <f>IFERROR(VLOOKUP(B404,'Plot Plan'!$A:$B,2,FALSE),"")</f>
      </c>
      <c r="L404" s="10">
        <f>IFERROR(VLOOKUP(B404,'Plot Plan'!$A:$C,3,FALSE),"")</f>
      </c>
    </row>
    <row r="405" spans="1:12" x14ac:dyDescent="0.25">
      <c r="A405" s="13"/>
      <c r="B405" s="11"/>
      <c r="C405" s="11"/>
      <c r="D405" s="11"/>
      <c r="E405" s="11"/>
      <c r="F405" s="11">
        <f>IF(AND(D405&lt;&gt;"",E405&lt;&gt;""),((TIMEVALUE(E405)-TIMEVALUE(D405))*24*60),"")</f>
      </c>
      <c r="G405" s="11"/>
      <c r="H405" s="11"/>
      <c r="I405" s="11">
        <f>IF(G405="","Pending",IF(G405&gt;=J405,"Accepted",IF(G405&gt;=(J405-Configuration!$C$5),"Tolerance","Refusal")))</f>
      </c>
      <c r="J405" s="11">
        <f>IFERROR(VLOOKUP(B405,'Plot Plan'!$A:$D,4,FALSE),"")</f>
      </c>
      <c r="K405" s="11">
        <f>IFERROR(VLOOKUP(B405,'Plot Plan'!$A:$B,2,FALSE),"")</f>
      </c>
      <c r="L405" s="11">
        <f>IFERROR(VLOOKUP(B405,'Plot Plan'!$A:$C,3,FALSE),"")</f>
      </c>
    </row>
    <row r="406" spans="1:12" s="8" customFormat="1" x14ac:dyDescent="0.25">
      <c r="A406" s="12"/>
      <c r="B406" s="10"/>
      <c r="C406" s="10"/>
      <c r="D406" s="10"/>
      <c r="E406" s="10"/>
      <c r="F406" s="10">
        <f>IF(AND(D406&lt;&gt;"",E406&lt;&gt;""),((TIMEVALUE(E406)-TIMEVALUE(D406))*24*60),"")</f>
      </c>
      <c r="G406" s="10"/>
      <c r="H406" s="10"/>
      <c r="I406" s="10">
        <f>IF(G406="","Pending",IF(G406&gt;=J406,"Accepted",IF(G406&gt;=(J406-Configuration!$C$5),"Tolerance","Refusal")))</f>
      </c>
      <c r="J406" s="10">
        <f>IFERROR(VLOOKUP(B406,'Plot Plan'!$A:$D,4,FALSE),"")</f>
      </c>
      <c r="K406" s="10">
        <f>IFERROR(VLOOKUP(B406,'Plot Plan'!$A:$B,2,FALSE),"")</f>
      </c>
      <c r="L406" s="10">
        <f>IFERROR(VLOOKUP(B406,'Plot Plan'!$A:$C,3,FALSE),"")</f>
      </c>
    </row>
    <row r="407" spans="1:12" x14ac:dyDescent="0.25">
      <c r="A407" s="13"/>
      <c r="B407" s="11"/>
      <c r="C407" s="11"/>
      <c r="D407" s="11"/>
      <c r="E407" s="11"/>
      <c r="F407" s="11">
        <f>IF(AND(D407&lt;&gt;"",E407&lt;&gt;""),((TIMEVALUE(E407)-TIMEVALUE(D407))*24*60),"")</f>
      </c>
      <c r="G407" s="11"/>
      <c r="H407" s="11"/>
      <c r="I407" s="11">
        <f>IF(G407="","Pending",IF(G407&gt;=J407,"Accepted",IF(G407&gt;=(J407-Configuration!$C$5),"Tolerance","Refusal")))</f>
      </c>
      <c r="J407" s="11">
        <f>IFERROR(VLOOKUP(B407,'Plot Plan'!$A:$D,4,FALSE),"")</f>
      </c>
      <c r="K407" s="11">
        <f>IFERROR(VLOOKUP(B407,'Plot Plan'!$A:$B,2,FALSE),"")</f>
      </c>
      <c r="L407" s="11">
        <f>IFERROR(VLOOKUP(B407,'Plot Plan'!$A:$C,3,FALSE),"")</f>
      </c>
    </row>
    <row r="408" spans="1:12" s="8" customFormat="1" x14ac:dyDescent="0.25">
      <c r="A408" s="12"/>
      <c r="B408" s="10"/>
      <c r="C408" s="10"/>
      <c r="D408" s="10"/>
      <c r="E408" s="10"/>
      <c r="F408" s="10">
        <f>IF(AND(D408&lt;&gt;"",E408&lt;&gt;""),((TIMEVALUE(E408)-TIMEVALUE(D408))*24*60),"")</f>
      </c>
      <c r="G408" s="10"/>
      <c r="H408" s="10"/>
      <c r="I408" s="10">
        <f>IF(G408="","Pending",IF(G408&gt;=J408,"Accepted",IF(G408&gt;=(J408-Configuration!$C$5),"Tolerance","Refusal")))</f>
      </c>
      <c r="J408" s="10">
        <f>IFERROR(VLOOKUP(B408,'Plot Plan'!$A:$D,4,FALSE),"")</f>
      </c>
      <c r="K408" s="10">
        <f>IFERROR(VLOOKUP(B408,'Plot Plan'!$A:$B,2,FALSE),"")</f>
      </c>
      <c r="L408" s="10">
        <f>IFERROR(VLOOKUP(B408,'Plot Plan'!$A:$C,3,FALSE),"")</f>
      </c>
    </row>
    <row r="409" spans="1:12" x14ac:dyDescent="0.25">
      <c r="A409" s="13"/>
      <c r="B409" s="11"/>
      <c r="C409" s="11"/>
      <c r="D409" s="11"/>
      <c r="E409" s="11"/>
      <c r="F409" s="11">
        <f>IF(AND(D409&lt;&gt;"",E409&lt;&gt;""),((TIMEVALUE(E409)-TIMEVALUE(D409))*24*60),"")</f>
      </c>
      <c r="G409" s="11"/>
      <c r="H409" s="11"/>
      <c r="I409" s="11">
        <f>IF(G409="","Pending",IF(G409&gt;=J409,"Accepted",IF(G409&gt;=(J409-Configuration!$C$5),"Tolerance","Refusal")))</f>
      </c>
      <c r="J409" s="11">
        <f>IFERROR(VLOOKUP(B409,'Plot Plan'!$A:$D,4,FALSE),"")</f>
      </c>
      <c r="K409" s="11">
        <f>IFERROR(VLOOKUP(B409,'Plot Plan'!$A:$B,2,FALSE),"")</f>
      </c>
      <c r="L409" s="11">
        <f>IFERROR(VLOOKUP(B409,'Plot Plan'!$A:$C,3,FALSE),"")</f>
      </c>
    </row>
    <row r="410" spans="1:12" s="8" customFormat="1" x14ac:dyDescent="0.25">
      <c r="A410" s="12"/>
      <c r="B410" s="10"/>
      <c r="C410" s="10"/>
      <c r="D410" s="10"/>
      <c r="E410" s="10"/>
      <c r="F410" s="10">
        <f>IF(AND(D410&lt;&gt;"",E410&lt;&gt;""),((TIMEVALUE(E410)-TIMEVALUE(D410))*24*60),"")</f>
      </c>
      <c r="G410" s="10"/>
      <c r="H410" s="10"/>
      <c r="I410" s="10">
        <f>IF(G410="","Pending",IF(G410&gt;=J410,"Accepted",IF(G410&gt;=(J410-Configuration!$C$5),"Tolerance","Refusal")))</f>
      </c>
      <c r="J410" s="10">
        <f>IFERROR(VLOOKUP(B410,'Plot Plan'!$A:$D,4,FALSE),"")</f>
      </c>
      <c r="K410" s="10">
        <f>IFERROR(VLOOKUP(B410,'Plot Plan'!$A:$B,2,FALSE),"")</f>
      </c>
      <c r="L410" s="10">
        <f>IFERROR(VLOOKUP(B410,'Plot Plan'!$A:$C,3,FALSE),"")</f>
      </c>
    </row>
    <row r="411" spans="1:12" x14ac:dyDescent="0.25">
      <c r="A411" s="13"/>
      <c r="B411" s="11"/>
      <c r="C411" s="11"/>
      <c r="D411" s="11"/>
      <c r="E411" s="11"/>
      <c r="F411" s="11">
        <f>IF(AND(D411&lt;&gt;"",E411&lt;&gt;""),((TIMEVALUE(E411)-TIMEVALUE(D411))*24*60),"")</f>
      </c>
      <c r="G411" s="11"/>
      <c r="H411" s="11"/>
      <c r="I411" s="11">
        <f>IF(G411="","Pending",IF(G411&gt;=J411,"Accepted",IF(G411&gt;=(J411-Configuration!$C$5),"Tolerance","Refusal")))</f>
      </c>
      <c r="J411" s="11">
        <f>IFERROR(VLOOKUP(B411,'Plot Plan'!$A:$D,4,FALSE),"")</f>
      </c>
      <c r="K411" s="11">
        <f>IFERROR(VLOOKUP(B411,'Plot Plan'!$A:$B,2,FALSE),"")</f>
      </c>
      <c r="L411" s="11">
        <f>IFERROR(VLOOKUP(B411,'Plot Plan'!$A:$C,3,FALSE),"")</f>
      </c>
    </row>
    <row r="412" spans="1:12" s="8" customFormat="1" x14ac:dyDescent="0.25">
      <c r="A412" s="12"/>
      <c r="B412" s="10"/>
      <c r="C412" s="10"/>
      <c r="D412" s="10"/>
      <c r="E412" s="10"/>
      <c r="F412" s="10">
        <f>IF(AND(D412&lt;&gt;"",E412&lt;&gt;""),((TIMEVALUE(E412)-TIMEVALUE(D412))*24*60),"")</f>
      </c>
      <c r="G412" s="10"/>
      <c r="H412" s="10"/>
      <c r="I412" s="10">
        <f>IF(G412="","Pending",IF(G412&gt;=J412,"Accepted",IF(G412&gt;=(J412-Configuration!$C$5),"Tolerance","Refusal")))</f>
      </c>
      <c r="J412" s="10">
        <f>IFERROR(VLOOKUP(B412,'Plot Plan'!$A:$D,4,FALSE),"")</f>
      </c>
      <c r="K412" s="10">
        <f>IFERROR(VLOOKUP(B412,'Plot Plan'!$A:$B,2,FALSE),"")</f>
      </c>
      <c r="L412" s="10">
        <f>IFERROR(VLOOKUP(B412,'Plot Plan'!$A:$C,3,FALSE),"")</f>
      </c>
    </row>
    <row r="413" spans="1:12" x14ac:dyDescent="0.25">
      <c r="A413" s="13"/>
      <c r="B413" s="11"/>
      <c r="C413" s="11"/>
      <c r="D413" s="11"/>
      <c r="E413" s="11"/>
      <c r="F413" s="11">
        <f>IF(AND(D413&lt;&gt;"",E413&lt;&gt;""),((TIMEVALUE(E413)-TIMEVALUE(D413))*24*60),"")</f>
      </c>
      <c r="G413" s="11"/>
      <c r="H413" s="11"/>
      <c r="I413" s="11">
        <f>IF(G413="","Pending",IF(G413&gt;=J413,"Accepted",IF(G413&gt;=(J413-Configuration!$C$5),"Tolerance","Refusal")))</f>
      </c>
      <c r="J413" s="11">
        <f>IFERROR(VLOOKUP(B413,'Plot Plan'!$A:$D,4,FALSE),"")</f>
      </c>
      <c r="K413" s="11">
        <f>IFERROR(VLOOKUP(B413,'Plot Plan'!$A:$B,2,FALSE),"")</f>
      </c>
      <c r="L413" s="11">
        <f>IFERROR(VLOOKUP(B413,'Plot Plan'!$A:$C,3,FALSE),"")</f>
      </c>
    </row>
    <row r="414" spans="1:12" s="8" customFormat="1" x14ac:dyDescent="0.25">
      <c r="A414" s="12"/>
      <c r="B414" s="10"/>
      <c r="C414" s="10"/>
      <c r="D414" s="10"/>
      <c r="E414" s="10"/>
      <c r="F414" s="10">
        <f>IF(AND(D414&lt;&gt;"",E414&lt;&gt;""),((TIMEVALUE(E414)-TIMEVALUE(D414))*24*60),"")</f>
      </c>
      <c r="G414" s="10"/>
      <c r="H414" s="10"/>
      <c r="I414" s="10">
        <f>IF(G414="","Pending",IF(G414&gt;=J414,"Accepted",IF(G414&gt;=(J414-Configuration!$C$5),"Tolerance","Refusal")))</f>
      </c>
      <c r="J414" s="10">
        <f>IFERROR(VLOOKUP(B414,'Plot Plan'!$A:$D,4,FALSE),"")</f>
      </c>
      <c r="K414" s="10">
        <f>IFERROR(VLOOKUP(B414,'Plot Plan'!$A:$B,2,FALSE),"")</f>
      </c>
      <c r="L414" s="10">
        <f>IFERROR(VLOOKUP(B414,'Plot Plan'!$A:$C,3,FALSE),"")</f>
      </c>
    </row>
    <row r="415" spans="1:12" x14ac:dyDescent="0.25">
      <c r="A415" s="13"/>
      <c r="B415" s="11"/>
      <c r="C415" s="11"/>
      <c r="D415" s="11"/>
      <c r="E415" s="11"/>
      <c r="F415" s="11">
        <f>IF(AND(D415&lt;&gt;"",E415&lt;&gt;""),((TIMEVALUE(E415)-TIMEVALUE(D415))*24*60),"")</f>
      </c>
      <c r="G415" s="11"/>
      <c r="H415" s="11"/>
      <c r="I415" s="11">
        <f>IF(G415="","Pending",IF(G415&gt;=J415,"Accepted",IF(G415&gt;=(J415-Configuration!$C$5),"Tolerance","Refusal")))</f>
      </c>
      <c r="J415" s="11">
        <f>IFERROR(VLOOKUP(B415,'Plot Plan'!$A:$D,4,FALSE),"")</f>
      </c>
      <c r="K415" s="11">
        <f>IFERROR(VLOOKUP(B415,'Plot Plan'!$A:$B,2,FALSE),"")</f>
      </c>
      <c r="L415" s="11">
        <f>IFERROR(VLOOKUP(B415,'Plot Plan'!$A:$C,3,FALSE),"")</f>
      </c>
    </row>
    <row r="416" spans="1:12" s="8" customFormat="1" x14ac:dyDescent="0.25">
      <c r="A416" s="12"/>
      <c r="B416" s="10"/>
      <c r="C416" s="10"/>
      <c r="D416" s="10"/>
      <c r="E416" s="10"/>
      <c r="F416" s="10">
        <f>IF(AND(D416&lt;&gt;"",E416&lt;&gt;""),((TIMEVALUE(E416)-TIMEVALUE(D416))*24*60),"")</f>
      </c>
      <c r="G416" s="10"/>
      <c r="H416" s="10"/>
      <c r="I416" s="10">
        <f>IF(G416="","Pending",IF(G416&gt;=J416,"Accepted",IF(G416&gt;=(J416-Configuration!$C$5),"Tolerance","Refusal")))</f>
      </c>
      <c r="J416" s="10">
        <f>IFERROR(VLOOKUP(B416,'Plot Plan'!$A:$D,4,FALSE),"")</f>
      </c>
      <c r="K416" s="10">
        <f>IFERROR(VLOOKUP(B416,'Plot Plan'!$A:$B,2,FALSE),"")</f>
      </c>
      <c r="L416" s="10">
        <f>IFERROR(VLOOKUP(B416,'Plot Plan'!$A:$C,3,FALSE),"")</f>
      </c>
    </row>
    <row r="417" spans="1:12" x14ac:dyDescent="0.25">
      <c r="A417" s="13"/>
      <c r="B417" s="11"/>
      <c r="C417" s="11"/>
      <c r="D417" s="11"/>
      <c r="E417" s="11"/>
      <c r="F417" s="11">
        <f>IF(AND(D417&lt;&gt;"",E417&lt;&gt;""),((TIMEVALUE(E417)-TIMEVALUE(D417))*24*60),"")</f>
      </c>
      <c r="G417" s="11"/>
      <c r="H417" s="11"/>
      <c r="I417" s="11">
        <f>IF(G417="","Pending",IF(G417&gt;=J417,"Accepted",IF(G417&gt;=(J417-Configuration!$C$5),"Tolerance","Refusal")))</f>
      </c>
      <c r="J417" s="11">
        <f>IFERROR(VLOOKUP(B417,'Plot Plan'!$A:$D,4,FALSE),"")</f>
      </c>
      <c r="K417" s="11">
        <f>IFERROR(VLOOKUP(B417,'Plot Plan'!$A:$B,2,FALSE),"")</f>
      </c>
      <c r="L417" s="11">
        <f>IFERROR(VLOOKUP(B417,'Plot Plan'!$A:$C,3,FALSE),"")</f>
      </c>
    </row>
    <row r="418" spans="1:12" s="8" customFormat="1" x14ac:dyDescent="0.25">
      <c r="A418" s="12"/>
      <c r="B418" s="10"/>
      <c r="C418" s="10"/>
      <c r="D418" s="10"/>
      <c r="E418" s="10"/>
      <c r="F418" s="10">
        <f>IF(AND(D418&lt;&gt;"",E418&lt;&gt;""),((TIMEVALUE(E418)-TIMEVALUE(D418))*24*60),"")</f>
      </c>
      <c r="G418" s="10"/>
      <c r="H418" s="10"/>
      <c r="I418" s="10">
        <f>IF(G418="","Pending",IF(G418&gt;=J418,"Accepted",IF(G418&gt;=(J418-Configuration!$C$5),"Tolerance","Refusal")))</f>
      </c>
      <c r="J418" s="10">
        <f>IFERROR(VLOOKUP(B418,'Plot Plan'!$A:$D,4,FALSE),"")</f>
      </c>
      <c r="K418" s="10">
        <f>IFERROR(VLOOKUP(B418,'Plot Plan'!$A:$B,2,FALSE),"")</f>
      </c>
      <c r="L418" s="10">
        <f>IFERROR(VLOOKUP(B418,'Plot Plan'!$A:$C,3,FALSE),"")</f>
      </c>
    </row>
    <row r="419" spans="1:12" x14ac:dyDescent="0.25">
      <c r="A419" s="13"/>
      <c r="B419" s="11"/>
      <c r="C419" s="11"/>
      <c r="D419" s="11"/>
      <c r="E419" s="11"/>
      <c r="F419" s="11">
        <f>IF(AND(D419&lt;&gt;"",E419&lt;&gt;""),((TIMEVALUE(E419)-TIMEVALUE(D419))*24*60),"")</f>
      </c>
      <c r="G419" s="11"/>
      <c r="H419" s="11"/>
      <c r="I419" s="11">
        <f>IF(G419="","Pending",IF(G419&gt;=J419,"Accepted",IF(G419&gt;=(J419-Configuration!$C$5),"Tolerance","Refusal")))</f>
      </c>
      <c r="J419" s="11">
        <f>IFERROR(VLOOKUP(B419,'Plot Plan'!$A:$D,4,FALSE),"")</f>
      </c>
      <c r="K419" s="11">
        <f>IFERROR(VLOOKUP(B419,'Plot Plan'!$A:$B,2,FALSE),"")</f>
      </c>
      <c r="L419" s="11">
        <f>IFERROR(VLOOKUP(B419,'Plot Plan'!$A:$C,3,FALSE),"")</f>
      </c>
    </row>
    <row r="420" spans="1:12" s="8" customFormat="1" x14ac:dyDescent="0.25">
      <c r="A420" s="12"/>
      <c r="B420" s="10"/>
      <c r="C420" s="10"/>
      <c r="D420" s="10"/>
      <c r="E420" s="10"/>
      <c r="F420" s="10">
        <f>IF(AND(D420&lt;&gt;"",E420&lt;&gt;""),((TIMEVALUE(E420)-TIMEVALUE(D420))*24*60),"")</f>
      </c>
      <c r="G420" s="10"/>
      <c r="H420" s="10"/>
      <c r="I420" s="10">
        <f>IF(G420="","Pending",IF(G420&gt;=J420,"Accepted",IF(G420&gt;=(J420-Configuration!$C$5),"Tolerance","Refusal")))</f>
      </c>
      <c r="J420" s="10">
        <f>IFERROR(VLOOKUP(B420,'Plot Plan'!$A:$D,4,FALSE),"")</f>
      </c>
      <c r="K420" s="10">
        <f>IFERROR(VLOOKUP(B420,'Plot Plan'!$A:$B,2,FALSE),"")</f>
      </c>
      <c r="L420" s="10">
        <f>IFERROR(VLOOKUP(B420,'Plot Plan'!$A:$C,3,FALSE),"")</f>
      </c>
    </row>
    <row r="421" spans="1:12" x14ac:dyDescent="0.25">
      <c r="A421" s="13"/>
      <c r="B421" s="11"/>
      <c r="C421" s="11"/>
      <c r="D421" s="11"/>
      <c r="E421" s="11"/>
      <c r="F421" s="11">
        <f>IF(AND(D421&lt;&gt;"",E421&lt;&gt;""),((TIMEVALUE(E421)-TIMEVALUE(D421))*24*60),"")</f>
      </c>
      <c r="G421" s="11"/>
      <c r="H421" s="11"/>
      <c r="I421" s="11">
        <f>IF(G421="","Pending",IF(G421&gt;=J421,"Accepted",IF(G421&gt;=(J421-Configuration!$C$5),"Tolerance","Refusal")))</f>
      </c>
      <c r="J421" s="11">
        <f>IFERROR(VLOOKUP(B421,'Plot Plan'!$A:$D,4,FALSE),"")</f>
      </c>
      <c r="K421" s="11">
        <f>IFERROR(VLOOKUP(B421,'Plot Plan'!$A:$B,2,FALSE),"")</f>
      </c>
      <c r="L421" s="11">
        <f>IFERROR(VLOOKUP(B421,'Plot Plan'!$A:$C,3,FALSE),"")</f>
      </c>
    </row>
    <row r="422" spans="1:12" s="8" customFormat="1" x14ac:dyDescent="0.25">
      <c r="A422" s="12"/>
      <c r="B422" s="10"/>
      <c r="C422" s="10"/>
      <c r="D422" s="10"/>
      <c r="E422" s="10"/>
      <c r="F422" s="10">
        <f>IF(AND(D422&lt;&gt;"",E422&lt;&gt;""),((TIMEVALUE(E422)-TIMEVALUE(D422))*24*60),"")</f>
      </c>
      <c r="G422" s="10"/>
      <c r="H422" s="10"/>
      <c r="I422" s="10">
        <f>IF(G422="","Pending",IF(G422&gt;=J422,"Accepted",IF(G422&gt;=(J422-Configuration!$C$5),"Tolerance","Refusal")))</f>
      </c>
      <c r="J422" s="10">
        <f>IFERROR(VLOOKUP(B422,'Plot Plan'!$A:$D,4,FALSE),"")</f>
      </c>
      <c r="K422" s="10">
        <f>IFERROR(VLOOKUP(B422,'Plot Plan'!$A:$B,2,FALSE),"")</f>
      </c>
      <c r="L422" s="10">
        <f>IFERROR(VLOOKUP(B422,'Plot Plan'!$A:$C,3,FALSE),"")</f>
      </c>
    </row>
    <row r="423" spans="1:12" x14ac:dyDescent="0.25">
      <c r="A423" s="13"/>
      <c r="B423" s="11"/>
      <c r="C423" s="11"/>
      <c r="D423" s="11"/>
      <c r="E423" s="11"/>
      <c r="F423" s="11">
        <f>IF(AND(D423&lt;&gt;"",E423&lt;&gt;""),((TIMEVALUE(E423)-TIMEVALUE(D423))*24*60),"")</f>
      </c>
      <c r="G423" s="11"/>
      <c r="H423" s="11"/>
      <c r="I423" s="11">
        <f>IF(G423="","Pending",IF(G423&gt;=J423,"Accepted",IF(G423&gt;=(J423-Configuration!$C$5),"Tolerance","Refusal")))</f>
      </c>
      <c r="J423" s="11">
        <f>IFERROR(VLOOKUP(B423,'Plot Plan'!$A:$D,4,FALSE),"")</f>
      </c>
      <c r="K423" s="11">
        <f>IFERROR(VLOOKUP(B423,'Plot Plan'!$A:$B,2,FALSE),"")</f>
      </c>
      <c r="L423" s="11">
        <f>IFERROR(VLOOKUP(B423,'Plot Plan'!$A:$C,3,FALSE),"")</f>
      </c>
    </row>
    <row r="424" spans="1:12" s="8" customFormat="1" x14ac:dyDescent="0.25">
      <c r="A424" s="12"/>
      <c r="B424" s="10"/>
      <c r="C424" s="10"/>
      <c r="D424" s="10"/>
      <c r="E424" s="10"/>
      <c r="F424" s="10">
        <f>IF(AND(D424&lt;&gt;"",E424&lt;&gt;""),((TIMEVALUE(E424)-TIMEVALUE(D424))*24*60),"")</f>
      </c>
      <c r="G424" s="10"/>
      <c r="H424" s="10"/>
      <c r="I424" s="10">
        <f>IF(G424="","Pending",IF(G424&gt;=J424,"Accepted",IF(G424&gt;=(J424-Configuration!$C$5),"Tolerance","Refusal")))</f>
      </c>
      <c r="J424" s="10">
        <f>IFERROR(VLOOKUP(B424,'Plot Plan'!$A:$D,4,FALSE),"")</f>
      </c>
      <c r="K424" s="10">
        <f>IFERROR(VLOOKUP(B424,'Plot Plan'!$A:$B,2,FALSE),"")</f>
      </c>
      <c r="L424" s="10">
        <f>IFERROR(VLOOKUP(B424,'Plot Plan'!$A:$C,3,FALSE),"")</f>
      </c>
    </row>
    <row r="425" spans="1:12" x14ac:dyDescent="0.25">
      <c r="A425" s="13"/>
      <c r="B425" s="11"/>
      <c r="C425" s="11"/>
      <c r="D425" s="11"/>
      <c r="E425" s="11"/>
      <c r="F425" s="11">
        <f>IF(AND(D425&lt;&gt;"",E425&lt;&gt;""),((TIMEVALUE(E425)-TIMEVALUE(D425))*24*60),"")</f>
      </c>
      <c r="G425" s="11"/>
      <c r="H425" s="11"/>
      <c r="I425" s="11">
        <f>IF(G425="","Pending",IF(G425&gt;=J425,"Accepted",IF(G425&gt;=(J425-Configuration!$C$5),"Tolerance","Refusal")))</f>
      </c>
      <c r="J425" s="11">
        <f>IFERROR(VLOOKUP(B425,'Plot Plan'!$A:$D,4,FALSE),"")</f>
      </c>
      <c r="K425" s="11">
        <f>IFERROR(VLOOKUP(B425,'Plot Plan'!$A:$B,2,FALSE),"")</f>
      </c>
      <c r="L425" s="11">
        <f>IFERROR(VLOOKUP(B425,'Plot Plan'!$A:$C,3,FALSE),"")</f>
      </c>
    </row>
    <row r="426" spans="1:12" s="8" customFormat="1" x14ac:dyDescent="0.25">
      <c r="A426" s="12"/>
      <c r="B426" s="10"/>
      <c r="C426" s="10"/>
      <c r="D426" s="10"/>
      <c r="E426" s="10"/>
      <c r="F426" s="10">
        <f>IF(AND(D426&lt;&gt;"",E426&lt;&gt;""),((TIMEVALUE(E426)-TIMEVALUE(D426))*24*60),"")</f>
      </c>
      <c r="G426" s="10"/>
      <c r="H426" s="10"/>
      <c r="I426" s="10">
        <f>IF(G426="","Pending",IF(G426&gt;=J426,"Accepted",IF(G426&gt;=(J426-Configuration!$C$5),"Tolerance","Refusal")))</f>
      </c>
      <c r="J426" s="10">
        <f>IFERROR(VLOOKUP(B426,'Plot Plan'!$A:$D,4,FALSE),"")</f>
      </c>
      <c r="K426" s="10">
        <f>IFERROR(VLOOKUP(B426,'Plot Plan'!$A:$B,2,FALSE),"")</f>
      </c>
      <c r="L426" s="10">
        <f>IFERROR(VLOOKUP(B426,'Plot Plan'!$A:$C,3,FALSE),"")</f>
      </c>
    </row>
    <row r="427" spans="1:12" x14ac:dyDescent="0.25">
      <c r="A427" s="13"/>
      <c r="B427" s="11"/>
      <c r="C427" s="11"/>
      <c r="D427" s="11"/>
      <c r="E427" s="11"/>
      <c r="F427" s="11">
        <f>IF(AND(D427&lt;&gt;"",E427&lt;&gt;""),((TIMEVALUE(E427)-TIMEVALUE(D427))*24*60),"")</f>
      </c>
      <c r="G427" s="11"/>
      <c r="H427" s="11"/>
      <c r="I427" s="11">
        <f>IF(G427="","Pending",IF(G427&gt;=J427,"Accepted",IF(G427&gt;=(J427-Configuration!$C$5),"Tolerance","Refusal")))</f>
      </c>
      <c r="J427" s="11">
        <f>IFERROR(VLOOKUP(B427,'Plot Plan'!$A:$D,4,FALSE),"")</f>
      </c>
      <c r="K427" s="11">
        <f>IFERROR(VLOOKUP(B427,'Plot Plan'!$A:$B,2,FALSE),"")</f>
      </c>
      <c r="L427" s="11">
        <f>IFERROR(VLOOKUP(B427,'Plot Plan'!$A:$C,3,FALSE),"")</f>
      </c>
    </row>
    <row r="428" spans="1:12" s="8" customFormat="1" x14ac:dyDescent="0.25">
      <c r="A428" s="12"/>
      <c r="B428" s="10"/>
      <c r="C428" s="10"/>
      <c r="D428" s="10"/>
      <c r="E428" s="10"/>
      <c r="F428" s="10">
        <f>IF(AND(D428&lt;&gt;"",E428&lt;&gt;""),((TIMEVALUE(E428)-TIMEVALUE(D428))*24*60),"")</f>
      </c>
      <c r="G428" s="10"/>
      <c r="H428" s="10"/>
      <c r="I428" s="10">
        <f>IF(G428="","Pending",IF(G428&gt;=J428,"Accepted",IF(G428&gt;=(J428-Configuration!$C$5),"Tolerance","Refusal")))</f>
      </c>
      <c r="J428" s="10">
        <f>IFERROR(VLOOKUP(B428,'Plot Plan'!$A:$D,4,FALSE),"")</f>
      </c>
      <c r="K428" s="10">
        <f>IFERROR(VLOOKUP(B428,'Plot Plan'!$A:$B,2,FALSE),"")</f>
      </c>
      <c r="L428" s="10">
        <f>IFERROR(VLOOKUP(B428,'Plot Plan'!$A:$C,3,FALSE),"")</f>
      </c>
    </row>
    <row r="429" spans="1:12" x14ac:dyDescent="0.25">
      <c r="A429" s="13"/>
      <c r="B429" s="11"/>
      <c r="C429" s="11"/>
      <c r="D429" s="11"/>
      <c r="E429" s="11"/>
      <c r="F429" s="11">
        <f>IF(AND(D429&lt;&gt;"",E429&lt;&gt;""),((TIMEVALUE(E429)-TIMEVALUE(D429))*24*60),"")</f>
      </c>
      <c r="G429" s="11"/>
      <c r="H429" s="11"/>
      <c r="I429" s="11">
        <f>IF(G429="","Pending",IF(G429&gt;=J429,"Accepted",IF(G429&gt;=(J429-Configuration!$C$5),"Tolerance","Refusal")))</f>
      </c>
      <c r="J429" s="11">
        <f>IFERROR(VLOOKUP(B429,'Plot Plan'!$A:$D,4,FALSE),"")</f>
      </c>
      <c r="K429" s="11">
        <f>IFERROR(VLOOKUP(B429,'Plot Plan'!$A:$B,2,FALSE),"")</f>
      </c>
      <c r="L429" s="11">
        <f>IFERROR(VLOOKUP(B429,'Plot Plan'!$A:$C,3,FALSE),"")</f>
      </c>
    </row>
    <row r="430" spans="1:12" s="8" customFormat="1" x14ac:dyDescent="0.25">
      <c r="A430" s="12"/>
      <c r="B430" s="10"/>
      <c r="C430" s="10"/>
      <c r="D430" s="10"/>
      <c r="E430" s="10"/>
      <c r="F430" s="10">
        <f>IF(AND(D430&lt;&gt;"",E430&lt;&gt;""),((TIMEVALUE(E430)-TIMEVALUE(D430))*24*60),"")</f>
      </c>
      <c r="G430" s="10"/>
      <c r="H430" s="10"/>
      <c r="I430" s="10">
        <f>IF(G430="","Pending",IF(G430&gt;=J430,"Accepted",IF(G430&gt;=(J430-Configuration!$C$5),"Tolerance","Refusal")))</f>
      </c>
      <c r="J430" s="10">
        <f>IFERROR(VLOOKUP(B430,'Plot Plan'!$A:$D,4,FALSE),"")</f>
      </c>
      <c r="K430" s="10">
        <f>IFERROR(VLOOKUP(B430,'Plot Plan'!$A:$B,2,FALSE),"")</f>
      </c>
      <c r="L430" s="10">
        <f>IFERROR(VLOOKUP(B430,'Plot Plan'!$A:$C,3,FALSE),"")</f>
      </c>
    </row>
    <row r="431" spans="1:12" x14ac:dyDescent="0.25">
      <c r="A431" s="13"/>
      <c r="B431" s="11"/>
      <c r="C431" s="11"/>
      <c r="D431" s="11"/>
      <c r="E431" s="11"/>
      <c r="F431" s="11">
        <f>IF(AND(D431&lt;&gt;"",E431&lt;&gt;""),((TIMEVALUE(E431)-TIMEVALUE(D431))*24*60),"")</f>
      </c>
      <c r="G431" s="11"/>
      <c r="H431" s="11"/>
      <c r="I431" s="11">
        <f>IF(G431="","Pending",IF(G431&gt;=J431,"Accepted",IF(G431&gt;=(J431-Configuration!$C$5),"Tolerance","Refusal")))</f>
      </c>
      <c r="J431" s="11">
        <f>IFERROR(VLOOKUP(B431,'Plot Plan'!$A:$D,4,FALSE),"")</f>
      </c>
      <c r="K431" s="11">
        <f>IFERROR(VLOOKUP(B431,'Plot Plan'!$A:$B,2,FALSE),"")</f>
      </c>
      <c r="L431" s="11">
        <f>IFERROR(VLOOKUP(B431,'Plot Plan'!$A:$C,3,FALSE),"")</f>
      </c>
    </row>
    <row r="432" spans="1:12" s="8" customFormat="1" x14ac:dyDescent="0.25">
      <c r="A432" s="12"/>
      <c r="B432" s="10"/>
      <c r="C432" s="10"/>
      <c r="D432" s="10"/>
      <c r="E432" s="10"/>
      <c r="F432" s="10">
        <f>IF(AND(D432&lt;&gt;"",E432&lt;&gt;""),((TIMEVALUE(E432)-TIMEVALUE(D432))*24*60),"")</f>
      </c>
      <c r="G432" s="10"/>
      <c r="H432" s="10"/>
      <c r="I432" s="10">
        <f>IF(G432="","Pending",IF(G432&gt;=J432,"Accepted",IF(G432&gt;=(J432-Configuration!$C$5),"Tolerance","Refusal")))</f>
      </c>
      <c r="J432" s="10">
        <f>IFERROR(VLOOKUP(B432,'Plot Plan'!$A:$D,4,FALSE),"")</f>
      </c>
      <c r="K432" s="10">
        <f>IFERROR(VLOOKUP(B432,'Plot Plan'!$A:$B,2,FALSE),"")</f>
      </c>
      <c r="L432" s="10">
        <f>IFERROR(VLOOKUP(B432,'Plot Plan'!$A:$C,3,FALSE),"")</f>
      </c>
    </row>
    <row r="433" spans="1:12" x14ac:dyDescent="0.25">
      <c r="A433" s="13"/>
      <c r="B433" s="11"/>
      <c r="C433" s="11"/>
      <c r="D433" s="11"/>
      <c r="E433" s="11"/>
      <c r="F433" s="11">
        <f>IF(AND(D433&lt;&gt;"",E433&lt;&gt;""),((TIMEVALUE(E433)-TIMEVALUE(D433))*24*60),"")</f>
      </c>
      <c r="G433" s="11"/>
      <c r="H433" s="11"/>
      <c r="I433" s="11">
        <f>IF(G433="","Pending",IF(G433&gt;=J433,"Accepted",IF(G433&gt;=(J433-Configuration!$C$5),"Tolerance","Refusal")))</f>
      </c>
      <c r="J433" s="11">
        <f>IFERROR(VLOOKUP(B433,'Plot Plan'!$A:$D,4,FALSE),"")</f>
      </c>
      <c r="K433" s="11">
        <f>IFERROR(VLOOKUP(B433,'Plot Plan'!$A:$B,2,FALSE),"")</f>
      </c>
      <c r="L433" s="11">
        <f>IFERROR(VLOOKUP(B433,'Plot Plan'!$A:$C,3,FALSE),"")</f>
      </c>
    </row>
    <row r="434" spans="1:12" s="8" customFormat="1" x14ac:dyDescent="0.25">
      <c r="A434" s="12"/>
      <c r="B434" s="10"/>
      <c r="C434" s="10"/>
      <c r="D434" s="10"/>
      <c r="E434" s="10"/>
      <c r="F434" s="10">
        <f>IF(AND(D434&lt;&gt;"",E434&lt;&gt;""),((TIMEVALUE(E434)-TIMEVALUE(D434))*24*60),"")</f>
      </c>
      <c r="G434" s="10"/>
      <c r="H434" s="10"/>
      <c r="I434" s="10">
        <f>IF(G434="","Pending",IF(G434&gt;=J434,"Accepted",IF(G434&gt;=(J434-Configuration!$C$5),"Tolerance","Refusal")))</f>
      </c>
      <c r="J434" s="10">
        <f>IFERROR(VLOOKUP(B434,'Plot Plan'!$A:$D,4,FALSE),"")</f>
      </c>
      <c r="K434" s="10">
        <f>IFERROR(VLOOKUP(B434,'Plot Plan'!$A:$B,2,FALSE),"")</f>
      </c>
      <c r="L434" s="10">
        <f>IFERROR(VLOOKUP(B434,'Plot Plan'!$A:$C,3,FALSE),"")</f>
      </c>
    </row>
    <row r="435" spans="1:12" x14ac:dyDescent="0.25">
      <c r="A435" s="13"/>
      <c r="B435" s="11"/>
      <c r="C435" s="11"/>
      <c r="D435" s="11"/>
      <c r="E435" s="11"/>
      <c r="F435" s="11">
        <f>IF(AND(D435&lt;&gt;"",E435&lt;&gt;""),((TIMEVALUE(E435)-TIMEVALUE(D435))*24*60),"")</f>
      </c>
      <c r="G435" s="11"/>
      <c r="H435" s="11"/>
      <c r="I435" s="11">
        <f>IF(G435="","Pending",IF(G435&gt;=J435,"Accepted",IF(G435&gt;=(J435-Configuration!$C$5),"Tolerance","Refusal")))</f>
      </c>
      <c r="J435" s="11">
        <f>IFERROR(VLOOKUP(B435,'Plot Plan'!$A:$D,4,FALSE),"")</f>
      </c>
      <c r="K435" s="11">
        <f>IFERROR(VLOOKUP(B435,'Plot Plan'!$A:$B,2,FALSE),"")</f>
      </c>
      <c r="L435" s="11">
        <f>IFERROR(VLOOKUP(B435,'Plot Plan'!$A:$C,3,FALSE),"")</f>
      </c>
    </row>
    <row r="436" spans="1:12" s="8" customFormat="1" x14ac:dyDescent="0.25">
      <c r="A436" s="12"/>
      <c r="B436" s="10"/>
      <c r="C436" s="10"/>
      <c r="D436" s="10"/>
      <c r="E436" s="10"/>
      <c r="F436" s="10">
        <f>IF(AND(D436&lt;&gt;"",E436&lt;&gt;""),((TIMEVALUE(E436)-TIMEVALUE(D436))*24*60),"")</f>
      </c>
      <c r="G436" s="10"/>
      <c r="H436" s="10"/>
      <c r="I436" s="10">
        <f>IF(G436="","Pending",IF(G436&gt;=J436,"Accepted",IF(G436&gt;=(J436-Configuration!$C$5),"Tolerance","Refusal")))</f>
      </c>
      <c r="J436" s="10">
        <f>IFERROR(VLOOKUP(B436,'Plot Plan'!$A:$D,4,FALSE),"")</f>
      </c>
      <c r="K436" s="10">
        <f>IFERROR(VLOOKUP(B436,'Plot Plan'!$A:$B,2,FALSE),"")</f>
      </c>
      <c r="L436" s="10">
        <f>IFERROR(VLOOKUP(B436,'Plot Plan'!$A:$C,3,FALSE),"")</f>
      </c>
    </row>
    <row r="437" spans="1:12" x14ac:dyDescent="0.25">
      <c r="A437" s="13"/>
      <c r="B437" s="11"/>
      <c r="C437" s="11"/>
      <c r="D437" s="11"/>
      <c r="E437" s="11"/>
      <c r="F437" s="11">
        <f>IF(AND(D437&lt;&gt;"",E437&lt;&gt;""),((TIMEVALUE(E437)-TIMEVALUE(D437))*24*60),"")</f>
      </c>
      <c r="G437" s="11"/>
      <c r="H437" s="11"/>
      <c r="I437" s="11">
        <f>IF(G437="","Pending",IF(G437&gt;=J437,"Accepted",IF(G437&gt;=(J437-Configuration!$C$5),"Tolerance","Refusal")))</f>
      </c>
      <c r="J437" s="11">
        <f>IFERROR(VLOOKUP(B437,'Plot Plan'!$A:$D,4,FALSE),"")</f>
      </c>
      <c r="K437" s="11">
        <f>IFERROR(VLOOKUP(B437,'Plot Plan'!$A:$B,2,FALSE),"")</f>
      </c>
      <c r="L437" s="11">
        <f>IFERROR(VLOOKUP(B437,'Plot Plan'!$A:$C,3,FALSE),"")</f>
      </c>
    </row>
    <row r="438" spans="1:12" s="8" customFormat="1" x14ac:dyDescent="0.25">
      <c r="A438" s="12"/>
      <c r="B438" s="10"/>
      <c r="C438" s="10"/>
      <c r="D438" s="10"/>
      <c r="E438" s="10"/>
      <c r="F438" s="10">
        <f>IF(AND(D438&lt;&gt;"",E438&lt;&gt;""),((TIMEVALUE(E438)-TIMEVALUE(D438))*24*60),"")</f>
      </c>
      <c r="G438" s="10"/>
      <c r="H438" s="10"/>
      <c r="I438" s="10">
        <f>IF(G438="","Pending",IF(G438&gt;=J438,"Accepted",IF(G438&gt;=(J438-Configuration!$C$5),"Tolerance","Refusal")))</f>
      </c>
      <c r="J438" s="10">
        <f>IFERROR(VLOOKUP(B438,'Plot Plan'!$A:$D,4,FALSE),"")</f>
      </c>
      <c r="K438" s="10">
        <f>IFERROR(VLOOKUP(B438,'Plot Plan'!$A:$B,2,FALSE),"")</f>
      </c>
      <c r="L438" s="10">
        <f>IFERROR(VLOOKUP(B438,'Plot Plan'!$A:$C,3,FALSE),"")</f>
      </c>
    </row>
    <row r="439" spans="1:12" x14ac:dyDescent="0.25">
      <c r="A439" s="13"/>
      <c r="B439" s="11"/>
      <c r="C439" s="11"/>
      <c r="D439" s="11"/>
      <c r="E439" s="11"/>
      <c r="F439" s="11">
        <f>IF(AND(D439&lt;&gt;"",E439&lt;&gt;""),((TIMEVALUE(E439)-TIMEVALUE(D439))*24*60),"")</f>
      </c>
      <c r="G439" s="11"/>
      <c r="H439" s="11"/>
      <c r="I439" s="11">
        <f>IF(G439="","Pending",IF(G439&gt;=J439,"Accepted",IF(G439&gt;=(J439-Configuration!$C$5),"Tolerance","Refusal")))</f>
      </c>
      <c r="J439" s="11">
        <f>IFERROR(VLOOKUP(B439,'Plot Plan'!$A:$D,4,FALSE),"")</f>
      </c>
      <c r="K439" s="11">
        <f>IFERROR(VLOOKUP(B439,'Plot Plan'!$A:$B,2,FALSE),"")</f>
      </c>
      <c r="L439" s="11">
        <f>IFERROR(VLOOKUP(B439,'Plot Plan'!$A:$C,3,FALSE),"")</f>
      </c>
    </row>
    <row r="440" spans="1:12" s="8" customFormat="1" x14ac:dyDescent="0.25">
      <c r="A440" s="12"/>
      <c r="B440" s="10"/>
      <c r="C440" s="10"/>
      <c r="D440" s="10"/>
      <c r="E440" s="10"/>
      <c r="F440" s="10">
        <f>IF(AND(D440&lt;&gt;"",E440&lt;&gt;""),((TIMEVALUE(E440)-TIMEVALUE(D440))*24*60),"")</f>
      </c>
      <c r="G440" s="10"/>
      <c r="H440" s="10"/>
      <c r="I440" s="10">
        <f>IF(G440="","Pending",IF(G440&gt;=J440,"Accepted",IF(G440&gt;=(J440-Configuration!$C$5),"Tolerance","Refusal")))</f>
      </c>
      <c r="J440" s="10">
        <f>IFERROR(VLOOKUP(B440,'Plot Plan'!$A:$D,4,FALSE),"")</f>
      </c>
      <c r="K440" s="10">
        <f>IFERROR(VLOOKUP(B440,'Plot Plan'!$A:$B,2,FALSE),"")</f>
      </c>
      <c r="L440" s="10">
        <f>IFERROR(VLOOKUP(B440,'Plot Plan'!$A:$C,3,FALSE),"")</f>
      </c>
    </row>
    <row r="441" spans="1:12" x14ac:dyDescent="0.25">
      <c r="A441" s="13"/>
      <c r="B441" s="11"/>
      <c r="C441" s="11"/>
      <c r="D441" s="11"/>
      <c r="E441" s="11"/>
      <c r="F441" s="11">
        <f>IF(AND(D441&lt;&gt;"",E441&lt;&gt;""),((TIMEVALUE(E441)-TIMEVALUE(D441))*24*60),"")</f>
      </c>
      <c r="G441" s="11"/>
      <c r="H441" s="11"/>
      <c r="I441" s="11">
        <f>IF(G441="","Pending",IF(G441&gt;=J441,"Accepted",IF(G441&gt;=(J441-Configuration!$C$5),"Tolerance","Refusal")))</f>
      </c>
      <c r="J441" s="11">
        <f>IFERROR(VLOOKUP(B441,'Plot Plan'!$A:$D,4,FALSE),"")</f>
      </c>
      <c r="K441" s="11">
        <f>IFERROR(VLOOKUP(B441,'Plot Plan'!$A:$B,2,FALSE),"")</f>
      </c>
      <c r="L441" s="11">
        <f>IFERROR(VLOOKUP(B441,'Plot Plan'!$A:$C,3,FALSE),"")</f>
      </c>
    </row>
    <row r="442" spans="1:12" s="8" customFormat="1" x14ac:dyDescent="0.25">
      <c r="A442" s="12"/>
      <c r="B442" s="10"/>
      <c r="C442" s="10"/>
      <c r="D442" s="10"/>
      <c r="E442" s="10"/>
      <c r="F442" s="10">
        <f>IF(AND(D442&lt;&gt;"",E442&lt;&gt;""),((TIMEVALUE(E442)-TIMEVALUE(D442))*24*60),"")</f>
      </c>
      <c r="G442" s="10"/>
      <c r="H442" s="10"/>
      <c r="I442" s="10">
        <f>IF(G442="","Pending",IF(G442&gt;=J442,"Accepted",IF(G442&gt;=(J442-Configuration!$C$5),"Tolerance","Refusal")))</f>
      </c>
      <c r="J442" s="10">
        <f>IFERROR(VLOOKUP(B442,'Plot Plan'!$A:$D,4,FALSE),"")</f>
      </c>
      <c r="K442" s="10">
        <f>IFERROR(VLOOKUP(B442,'Plot Plan'!$A:$B,2,FALSE),"")</f>
      </c>
      <c r="L442" s="10">
        <f>IFERROR(VLOOKUP(B442,'Plot Plan'!$A:$C,3,FALSE),"")</f>
      </c>
    </row>
    <row r="443" spans="1:12" x14ac:dyDescent="0.25">
      <c r="A443" s="13"/>
      <c r="B443" s="11"/>
      <c r="C443" s="11"/>
      <c r="D443" s="11"/>
      <c r="E443" s="11"/>
      <c r="F443" s="11">
        <f>IF(AND(D443&lt;&gt;"",E443&lt;&gt;""),((TIMEVALUE(E443)-TIMEVALUE(D443))*24*60),"")</f>
      </c>
      <c r="G443" s="11"/>
      <c r="H443" s="11"/>
      <c r="I443" s="11">
        <f>IF(G443="","Pending",IF(G443&gt;=J443,"Accepted",IF(G443&gt;=(J443-Configuration!$C$5),"Tolerance","Refusal")))</f>
      </c>
      <c r="J443" s="11">
        <f>IFERROR(VLOOKUP(B443,'Plot Plan'!$A:$D,4,FALSE),"")</f>
      </c>
      <c r="K443" s="11">
        <f>IFERROR(VLOOKUP(B443,'Plot Plan'!$A:$B,2,FALSE),"")</f>
      </c>
      <c r="L443" s="11">
        <f>IFERROR(VLOOKUP(B443,'Plot Plan'!$A:$C,3,FALSE),"")</f>
      </c>
    </row>
    <row r="444" spans="1:12" s="8" customFormat="1" x14ac:dyDescent="0.25">
      <c r="A444" s="12"/>
      <c r="B444" s="10"/>
      <c r="C444" s="10"/>
      <c r="D444" s="10"/>
      <c r="E444" s="10"/>
      <c r="F444" s="10">
        <f>IF(AND(D444&lt;&gt;"",E444&lt;&gt;""),((TIMEVALUE(E444)-TIMEVALUE(D444))*24*60),"")</f>
      </c>
      <c r="G444" s="10"/>
      <c r="H444" s="10"/>
      <c r="I444" s="10">
        <f>IF(G444="","Pending",IF(G444&gt;=J444,"Accepted",IF(G444&gt;=(J444-Configuration!$C$5),"Tolerance","Refusal")))</f>
      </c>
      <c r="J444" s="10">
        <f>IFERROR(VLOOKUP(B444,'Plot Plan'!$A:$D,4,FALSE),"")</f>
      </c>
      <c r="K444" s="10">
        <f>IFERROR(VLOOKUP(B444,'Plot Plan'!$A:$B,2,FALSE),"")</f>
      </c>
      <c r="L444" s="10">
        <f>IFERROR(VLOOKUP(B444,'Plot Plan'!$A:$C,3,FALSE),"")</f>
      </c>
    </row>
    <row r="445" spans="1:12" x14ac:dyDescent="0.25">
      <c r="A445" s="13"/>
      <c r="B445" s="11"/>
      <c r="C445" s="11"/>
      <c r="D445" s="11"/>
      <c r="E445" s="11"/>
      <c r="F445" s="11">
        <f>IF(AND(D445&lt;&gt;"",E445&lt;&gt;""),((TIMEVALUE(E445)-TIMEVALUE(D445))*24*60),"")</f>
      </c>
      <c r="G445" s="11"/>
      <c r="H445" s="11"/>
      <c r="I445" s="11">
        <f>IF(G445="","Pending",IF(G445&gt;=J445,"Accepted",IF(G445&gt;=(J445-Configuration!$C$5),"Tolerance","Refusal")))</f>
      </c>
      <c r="J445" s="11">
        <f>IFERROR(VLOOKUP(B445,'Plot Plan'!$A:$D,4,FALSE),"")</f>
      </c>
      <c r="K445" s="11">
        <f>IFERROR(VLOOKUP(B445,'Plot Plan'!$A:$B,2,FALSE),"")</f>
      </c>
      <c r="L445" s="11">
        <f>IFERROR(VLOOKUP(B445,'Plot Plan'!$A:$C,3,FALSE),"")</f>
      </c>
    </row>
    <row r="446" spans="1:12" s="8" customFormat="1" x14ac:dyDescent="0.25">
      <c r="A446" s="12"/>
      <c r="B446" s="10"/>
      <c r="C446" s="10"/>
      <c r="D446" s="10"/>
      <c r="E446" s="10"/>
      <c r="F446" s="10">
        <f>IF(AND(D446&lt;&gt;"",E446&lt;&gt;""),((TIMEVALUE(E446)-TIMEVALUE(D446))*24*60),"")</f>
      </c>
      <c r="G446" s="10"/>
      <c r="H446" s="10"/>
      <c r="I446" s="10">
        <f>IF(G446="","Pending",IF(G446&gt;=J446,"Accepted",IF(G446&gt;=(J446-Configuration!$C$5),"Tolerance","Refusal")))</f>
      </c>
      <c r="J446" s="10">
        <f>IFERROR(VLOOKUP(B446,'Plot Plan'!$A:$D,4,FALSE),"")</f>
      </c>
      <c r="K446" s="10">
        <f>IFERROR(VLOOKUP(B446,'Plot Plan'!$A:$B,2,FALSE),"")</f>
      </c>
      <c r="L446" s="10">
        <f>IFERROR(VLOOKUP(B446,'Plot Plan'!$A:$C,3,FALSE),"")</f>
      </c>
    </row>
    <row r="447" spans="1:12" x14ac:dyDescent="0.25">
      <c r="A447" s="13"/>
      <c r="B447" s="11"/>
      <c r="C447" s="11"/>
      <c r="D447" s="11"/>
      <c r="E447" s="11"/>
      <c r="F447" s="11">
        <f>IF(AND(D447&lt;&gt;"",E447&lt;&gt;""),((TIMEVALUE(E447)-TIMEVALUE(D447))*24*60),"")</f>
      </c>
      <c r="G447" s="11"/>
      <c r="H447" s="11"/>
      <c r="I447" s="11">
        <f>IF(G447="","Pending",IF(G447&gt;=J447,"Accepted",IF(G447&gt;=(J447-Configuration!$C$5),"Tolerance","Refusal")))</f>
      </c>
      <c r="J447" s="11">
        <f>IFERROR(VLOOKUP(B447,'Plot Plan'!$A:$D,4,FALSE),"")</f>
      </c>
      <c r="K447" s="11">
        <f>IFERROR(VLOOKUP(B447,'Plot Plan'!$A:$B,2,FALSE),"")</f>
      </c>
      <c r="L447" s="11">
        <f>IFERROR(VLOOKUP(B447,'Plot Plan'!$A:$C,3,FALSE),"")</f>
      </c>
    </row>
    <row r="448" spans="1:12" s="8" customFormat="1" x14ac:dyDescent="0.25">
      <c r="A448" s="12"/>
      <c r="B448" s="10"/>
      <c r="C448" s="10"/>
      <c r="D448" s="10"/>
      <c r="E448" s="10"/>
      <c r="F448" s="10">
        <f>IF(AND(D448&lt;&gt;"",E448&lt;&gt;""),((TIMEVALUE(E448)-TIMEVALUE(D448))*24*60),"")</f>
      </c>
      <c r="G448" s="10"/>
      <c r="H448" s="10"/>
      <c r="I448" s="10">
        <f>IF(G448="","Pending",IF(G448&gt;=J448,"Accepted",IF(G448&gt;=(J448-Configuration!$C$5),"Tolerance","Refusal")))</f>
      </c>
      <c r="J448" s="10">
        <f>IFERROR(VLOOKUP(B448,'Plot Plan'!$A:$D,4,FALSE),"")</f>
      </c>
      <c r="K448" s="10">
        <f>IFERROR(VLOOKUP(B448,'Plot Plan'!$A:$B,2,FALSE),"")</f>
      </c>
      <c r="L448" s="10">
        <f>IFERROR(VLOOKUP(B448,'Plot Plan'!$A:$C,3,FALSE),"")</f>
      </c>
    </row>
    <row r="449" spans="1:12" x14ac:dyDescent="0.25">
      <c r="A449" s="13"/>
      <c r="B449" s="11"/>
      <c r="C449" s="11"/>
      <c r="D449" s="11"/>
      <c r="E449" s="11"/>
      <c r="F449" s="11">
        <f>IF(AND(D449&lt;&gt;"",E449&lt;&gt;""),((TIMEVALUE(E449)-TIMEVALUE(D449))*24*60),"")</f>
      </c>
      <c r="G449" s="11"/>
      <c r="H449" s="11"/>
      <c r="I449" s="11">
        <f>IF(G449="","Pending",IF(G449&gt;=J449,"Accepted",IF(G449&gt;=(J449-Configuration!$C$5),"Tolerance","Refusal")))</f>
      </c>
      <c r="J449" s="11">
        <f>IFERROR(VLOOKUP(B449,'Plot Plan'!$A:$D,4,FALSE),"")</f>
      </c>
      <c r="K449" s="11">
        <f>IFERROR(VLOOKUP(B449,'Plot Plan'!$A:$B,2,FALSE),"")</f>
      </c>
      <c r="L449" s="11">
        <f>IFERROR(VLOOKUP(B449,'Plot Plan'!$A:$C,3,FALSE),"")</f>
      </c>
    </row>
    <row r="450" spans="1:12" s="8" customFormat="1" x14ac:dyDescent="0.25">
      <c r="A450" s="12"/>
      <c r="B450" s="10"/>
      <c r="C450" s="10"/>
      <c r="D450" s="10"/>
      <c r="E450" s="10"/>
      <c r="F450" s="10">
        <f>IF(AND(D450&lt;&gt;"",E450&lt;&gt;""),((TIMEVALUE(E450)-TIMEVALUE(D450))*24*60),"")</f>
      </c>
      <c r="G450" s="10"/>
      <c r="H450" s="10"/>
      <c r="I450" s="10">
        <f>IF(G450="","Pending",IF(G450&gt;=J450,"Accepted",IF(G450&gt;=(J450-Configuration!$C$5),"Tolerance","Refusal")))</f>
      </c>
      <c r="J450" s="10">
        <f>IFERROR(VLOOKUP(B450,'Plot Plan'!$A:$D,4,FALSE),"")</f>
      </c>
      <c r="K450" s="10">
        <f>IFERROR(VLOOKUP(B450,'Plot Plan'!$A:$B,2,FALSE),"")</f>
      </c>
      <c r="L450" s="10">
        <f>IFERROR(VLOOKUP(B450,'Plot Plan'!$A:$C,3,FALSE),"")</f>
      </c>
    </row>
    <row r="451" spans="1:12" x14ac:dyDescent="0.25">
      <c r="A451" s="13"/>
      <c r="B451" s="11"/>
      <c r="C451" s="11"/>
      <c r="D451" s="11"/>
      <c r="E451" s="11"/>
      <c r="F451" s="11">
        <f>IF(AND(D451&lt;&gt;"",E451&lt;&gt;""),((TIMEVALUE(E451)-TIMEVALUE(D451))*24*60),"")</f>
      </c>
      <c r="G451" s="11"/>
      <c r="H451" s="11"/>
      <c r="I451" s="11">
        <f>IF(G451="","Pending",IF(G451&gt;=J451,"Accepted",IF(G451&gt;=(J451-Configuration!$C$5),"Tolerance","Refusal")))</f>
      </c>
      <c r="J451" s="11">
        <f>IFERROR(VLOOKUP(B451,'Plot Plan'!$A:$D,4,FALSE),"")</f>
      </c>
      <c r="K451" s="11">
        <f>IFERROR(VLOOKUP(B451,'Plot Plan'!$A:$B,2,FALSE),"")</f>
      </c>
      <c r="L451" s="11">
        <f>IFERROR(VLOOKUP(B451,'Plot Plan'!$A:$C,3,FALSE),"")</f>
      </c>
    </row>
    <row r="452" spans="1:12" s="8" customFormat="1" x14ac:dyDescent="0.25">
      <c r="A452" s="12"/>
      <c r="B452" s="10"/>
      <c r="C452" s="10"/>
      <c r="D452" s="10"/>
      <c r="E452" s="10"/>
      <c r="F452" s="10">
        <f>IF(AND(D452&lt;&gt;"",E452&lt;&gt;""),((TIMEVALUE(E452)-TIMEVALUE(D452))*24*60),"")</f>
      </c>
      <c r="G452" s="10"/>
      <c r="H452" s="10"/>
      <c r="I452" s="10">
        <f>IF(G452="","Pending",IF(G452&gt;=J452,"Accepted",IF(G452&gt;=(J452-Configuration!$C$5),"Tolerance","Refusal")))</f>
      </c>
      <c r="J452" s="10">
        <f>IFERROR(VLOOKUP(B452,'Plot Plan'!$A:$D,4,FALSE),"")</f>
      </c>
      <c r="K452" s="10">
        <f>IFERROR(VLOOKUP(B452,'Plot Plan'!$A:$B,2,FALSE),"")</f>
      </c>
      <c r="L452" s="10">
        <f>IFERROR(VLOOKUP(B452,'Plot Plan'!$A:$C,3,FALSE),"")</f>
      </c>
    </row>
    <row r="453" spans="1:12" x14ac:dyDescent="0.25">
      <c r="A453" s="13"/>
      <c r="B453" s="11"/>
      <c r="C453" s="11"/>
      <c r="D453" s="11"/>
      <c r="E453" s="11"/>
      <c r="F453" s="11">
        <f>IF(AND(D453&lt;&gt;"",E453&lt;&gt;""),((TIMEVALUE(E453)-TIMEVALUE(D453))*24*60),"")</f>
      </c>
      <c r="G453" s="11"/>
      <c r="H453" s="11"/>
      <c r="I453" s="11">
        <f>IF(G453="","Pending",IF(G453&gt;=J453,"Accepted",IF(G453&gt;=(J453-Configuration!$C$5),"Tolerance","Refusal")))</f>
      </c>
      <c r="J453" s="11">
        <f>IFERROR(VLOOKUP(B453,'Plot Plan'!$A:$D,4,FALSE),"")</f>
      </c>
      <c r="K453" s="11">
        <f>IFERROR(VLOOKUP(B453,'Plot Plan'!$A:$B,2,FALSE),"")</f>
      </c>
      <c r="L453" s="11">
        <f>IFERROR(VLOOKUP(B453,'Plot Plan'!$A:$C,3,FALSE),"")</f>
      </c>
    </row>
    <row r="454" spans="1:12" s="8" customFormat="1" x14ac:dyDescent="0.25">
      <c r="A454" s="12"/>
      <c r="B454" s="10"/>
      <c r="C454" s="10"/>
      <c r="D454" s="10"/>
      <c r="E454" s="10"/>
      <c r="F454" s="10">
        <f>IF(AND(D454&lt;&gt;"",E454&lt;&gt;""),((TIMEVALUE(E454)-TIMEVALUE(D454))*24*60),"")</f>
      </c>
      <c r="G454" s="10"/>
      <c r="H454" s="10"/>
      <c r="I454" s="10">
        <f>IF(G454="","Pending",IF(G454&gt;=J454,"Accepted",IF(G454&gt;=(J454-Configuration!$C$5),"Tolerance","Refusal")))</f>
      </c>
      <c r="J454" s="10">
        <f>IFERROR(VLOOKUP(B454,'Plot Plan'!$A:$D,4,FALSE),"")</f>
      </c>
      <c r="K454" s="10">
        <f>IFERROR(VLOOKUP(B454,'Plot Plan'!$A:$B,2,FALSE),"")</f>
      </c>
      <c r="L454" s="10">
        <f>IFERROR(VLOOKUP(B454,'Plot Plan'!$A:$C,3,FALSE),"")</f>
      </c>
    </row>
    <row r="455" spans="1:12" x14ac:dyDescent="0.25">
      <c r="A455" s="13"/>
      <c r="B455" s="11"/>
      <c r="C455" s="11"/>
      <c r="D455" s="11"/>
      <c r="E455" s="11"/>
      <c r="F455" s="11">
        <f>IF(AND(D455&lt;&gt;"",E455&lt;&gt;""),((TIMEVALUE(E455)-TIMEVALUE(D455))*24*60),"")</f>
      </c>
      <c r="G455" s="11"/>
      <c r="H455" s="11"/>
      <c r="I455" s="11">
        <f>IF(G455="","Pending",IF(G455&gt;=J455,"Accepted",IF(G455&gt;=(J455-Configuration!$C$5),"Tolerance","Refusal")))</f>
      </c>
      <c r="J455" s="11">
        <f>IFERROR(VLOOKUP(B455,'Plot Plan'!$A:$D,4,FALSE),"")</f>
      </c>
      <c r="K455" s="11">
        <f>IFERROR(VLOOKUP(B455,'Plot Plan'!$A:$B,2,FALSE),"")</f>
      </c>
      <c r="L455" s="11">
        <f>IFERROR(VLOOKUP(B455,'Plot Plan'!$A:$C,3,FALSE),"")</f>
      </c>
    </row>
    <row r="456" spans="1:12" s="8" customFormat="1" x14ac:dyDescent="0.25">
      <c r="A456" s="12"/>
      <c r="B456" s="10"/>
      <c r="C456" s="10"/>
      <c r="D456" s="10"/>
      <c r="E456" s="10"/>
      <c r="F456" s="10">
        <f>IF(AND(D456&lt;&gt;"",E456&lt;&gt;""),((TIMEVALUE(E456)-TIMEVALUE(D456))*24*60),"")</f>
      </c>
      <c r="G456" s="10"/>
      <c r="H456" s="10"/>
      <c r="I456" s="10">
        <f>IF(G456="","Pending",IF(G456&gt;=J456,"Accepted",IF(G456&gt;=(J456-Configuration!$C$5),"Tolerance","Refusal")))</f>
      </c>
      <c r="J456" s="10">
        <f>IFERROR(VLOOKUP(B456,'Plot Plan'!$A:$D,4,FALSE),"")</f>
      </c>
      <c r="K456" s="10">
        <f>IFERROR(VLOOKUP(B456,'Plot Plan'!$A:$B,2,FALSE),"")</f>
      </c>
      <c r="L456" s="10">
        <f>IFERROR(VLOOKUP(B456,'Plot Plan'!$A:$C,3,FALSE),"")</f>
      </c>
    </row>
    <row r="457" spans="1:12" x14ac:dyDescent="0.25">
      <c r="A457" s="13"/>
      <c r="B457" s="11"/>
      <c r="C457" s="11"/>
      <c r="D457" s="11"/>
      <c r="E457" s="11"/>
      <c r="F457" s="11">
        <f>IF(AND(D457&lt;&gt;"",E457&lt;&gt;""),((TIMEVALUE(E457)-TIMEVALUE(D457))*24*60),"")</f>
      </c>
      <c r="G457" s="11"/>
      <c r="H457" s="11"/>
      <c r="I457" s="11">
        <f>IF(G457="","Pending",IF(G457&gt;=J457,"Accepted",IF(G457&gt;=(J457-Configuration!$C$5),"Tolerance","Refusal")))</f>
      </c>
      <c r="J457" s="11">
        <f>IFERROR(VLOOKUP(B457,'Plot Plan'!$A:$D,4,FALSE),"")</f>
      </c>
      <c r="K457" s="11">
        <f>IFERROR(VLOOKUP(B457,'Plot Plan'!$A:$B,2,FALSE),"")</f>
      </c>
      <c r="L457" s="11">
        <f>IFERROR(VLOOKUP(B457,'Plot Plan'!$A:$C,3,FALSE),"")</f>
      </c>
    </row>
    <row r="458" spans="1:12" s="8" customFormat="1" x14ac:dyDescent="0.25">
      <c r="A458" s="12"/>
      <c r="B458" s="10"/>
      <c r="C458" s="10"/>
      <c r="D458" s="10"/>
      <c r="E458" s="10"/>
      <c r="F458" s="10">
        <f>IF(AND(D458&lt;&gt;"",E458&lt;&gt;""),((TIMEVALUE(E458)-TIMEVALUE(D458))*24*60),"")</f>
      </c>
      <c r="G458" s="10"/>
      <c r="H458" s="10"/>
      <c r="I458" s="10">
        <f>IF(G458="","Pending",IF(G458&gt;=J458,"Accepted",IF(G458&gt;=(J458-Configuration!$C$5),"Tolerance","Refusal")))</f>
      </c>
      <c r="J458" s="10">
        <f>IFERROR(VLOOKUP(B458,'Plot Plan'!$A:$D,4,FALSE),"")</f>
      </c>
      <c r="K458" s="10">
        <f>IFERROR(VLOOKUP(B458,'Plot Plan'!$A:$B,2,FALSE),"")</f>
      </c>
      <c r="L458" s="10">
        <f>IFERROR(VLOOKUP(B458,'Plot Plan'!$A:$C,3,FALSE),"")</f>
      </c>
    </row>
    <row r="459" spans="1:12" x14ac:dyDescent="0.25">
      <c r="A459" s="13"/>
      <c r="B459" s="11"/>
      <c r="C459" s="11"/>
      <c r="D459" s="11"/>
      <c r="E459" s="11"/>
      <c r="F459" s="11">
        <f>IF(AND(D459&lt;&gt;"",E459&lt;&gt;""),((TIMEVALUE(E459)-TIMEVALUE(D459))*24*60),"")</f>
      </c>
      <c r="G459" s="11"/>
      <c r="H459" s="11"/>
      <c r="I459" s="11">
        <f>IF(G459="","Pending",IF(G459&gt;=J459,"Accepted",IF(G459&gt;=(J459-Configuration!$C$5),"Tolerance","Refusal")))</f>
      </c>
      <c r="J459" s="11">
        <f>IFERROR(VLOOKUP(B459,'Plot Plan'!$A:$D,4,FALSE),"")</f>
      </c>
      <c r="K459" s="11">
        <f>IFERROR(VLOOKUP(B459,'Plot Plan'!$A:$B,2,FALSE),"")</f>
      </c>
      <c r="L459" s="11">
        <f>IFERROR(VLOOKUP(B459,'Plot Plan'!$A:$C,3,FALSE),"")</f>
      </c>
    </row>
    <row r="460" spans="1:12" s="8" customFormat="1" x14ac:dyDescent="0.25">
      <c r="A460" s="12"/>
      <c r="B460" s="10"/>
      <c r="C460" s="10"/>
      <c r="D460" s="10"/>
      <c r="E460" s="10"/>
      <c r="F460" s="10">
        <f>IF(AND(D460&lt;&gt;"",E460&lt;&gt;""),((TIMEVALUE(E460)-TIMEVALUE(D460))*24*60),"")</f>
      </c>
      <c r="G460" s="10"/>
      <c r="H460" s="10"/>
      <c r="I460" s="10">
        <f>IF(G460="","Pending",IF(G460&gt;=J460,"Accepted",IF(G460&gt;=(J460-Configuration!$C$5),"Tolerance","Refusal")))</f>
      </c>
      <c r="J460" s="10">
        <f>IFERROR(VLOOKUP(B460,'Plot Plan'!$A:$D,4,FALSE),"")</f>
      </c>
      <c r="K460" s="10">
        <f>IFERROR(VLOOKUP(B460,'Plot Plan'!$A:$B,2,FALSE),"")</f>
      </c>
      <c r="L460" s="10">
        <f>IFERROR(VLOOKUP(B460,'Plot Plan'!$A:$C,3,FALSE),"")</f>
      </c>
    </row>
    <row r="461" spans="1:12" x14ac:dyDescent="0.25">
      <c r="A461" s="13"/>
      <c r="B461" s="11"/>
      <c r="C461" s="11"/>
      <c r="D461" s="11"/>
      <c r="E461" s="11"/>
      <c r="F461" s="11">
        <f>IF(AND(D461&lt;&gt;"",E461&lt;&gt;""),((TIMEVALUE(E461)-TIMEVALUE(D461))*24*60),"")</f>
      </c>
      <c r="G461" s="11"/>
      <c r="H461" s="11"/>
      <c r="I461" s="11">
        <f>IF(G461="","Pending",IF(G461&gt;=J461,"Accepted",IF(G461&gt;=(J461-Configuration!$C$5),"Tolerance","Refusal")))</f>
      </c>
      <c r="J461" s="11">
        <f>IFERROR(VLOOKUP(B461,'Plot Plan'!$A:$D,4,FALSE),"")</f>
      </c>
      <c r="K461" s="11">
        <f>IFERROR(VLOOKUP(B461,'Plot Plan'!$A:$B,2,FALSE),"")</f>
      </c>
      <c r="L461" s="11">
        <f>IFERROR(VLOOKUP(B461,'Plot Plan'!$A:$C,3,FALSE),"")</f>
      </c>
    </row>
    <row r="462" spans="1:12" s="8" customFormat="1" x14ac:dyDescent="0.25">
      <c r="A462" s="12"/>
      <c r="B462" s="10"/>
      <c r="C462" s="10"/>
      <c r="D462" s="10"/>
      <c r="E462" s="10"/>
      <c r="F462" s="10">
        <f>IF(AND(D462&lt;&gt;"",E462&lt;&gt;""),((TIMEVALUE(E462)-TIMEVALUE(D462))*24*60),"")</f>
      </c>
      <c r="G462" s="10"/>
      <c r="H462" s="10"/>
      <c r="I462" s="10">
        <f>IF(G462="","Pending",IF(G462&gt;=J462,"Accepted",IF(G462&gt;=(J462-Configuration!$C$5),"Tolerance","Refusal")))</f>
      </c>
      <c r="J462" s="10">
        <f>IFERROR(VLOOKUP(B462,'Plot Plan'!$A:$D,4,FALSE),"")</f>
      </c>
      <c r="K462" s="10">
        <f>IFERROR(VLOOKUP(B462,'Plot Plan'!$A:$B,2,FALSE),"")</f>
      </c>
      <c r="L462" s="10">
        <f>IFERROR(VLOOKUP(B462,'Plot Plan'!$A:$C,3,FALSE),"")</f>
      </c>
    </row>
    <row r="463" spans="1:12" x14ac:dyDescent="0.25">
      <c r="A463" s="13"/>
      <c r="B463" s="11"/>
      <c r="C463" s="11"/>
      <c r="D463" s="11"/>
      <c r="E463" s="11"/>
      <c r="F463" s="11">
        <f>IF(AND(D463&lt;&gt;"",E463&lt;&gt;""),((TIMEVALUE(E463)-TIMEVALUE(D463))*24*60),"")</f>
      </c>
      <c r="G463" s="11"/>
      <c r="H463" s="11"/>
      <c r="I463" s="11">
        <f>IF(G463="","Pending",IF(G463&gt;=J463,"Accepted",IF(G463&gt;=(J463-Configuration!$C$5),"Tolerance","Refusal")))</f>
      </c>
      <c r="J463" s="11">
        <f>IFERROR(VLOOKUP(B463,'Plot Plan'!$A:$D,4,FALSE),"")</f>
      </c>
      <c r="K463" s="11">
        <f>IFERROR(VLOOKUP(B463,'Plot Plan'!$A:$B,2,FALSE),"")</f>
      </c>
      <c r="L463" s="11">
        <f>IFERROR(VLOOKUP(B463,'Plot Plan'!$A:$C,3,FALSE),"")</f>
      </c>
    </row>
    <row r="464" spans="1:12" s="8" customFormat="1" x14ac:dyDescent="0.25">
      <c r="A464" s="12"/>
      <c r="B464" s="10"/>
      <c r="C464" s="10"/>
      <c r="D464" s="10"/>
      <c r="E464" s="10"/>
      <c r="F464" s="10">
        <f>IF(AND(D464&lt;&gt;"",E464&lt;&gt;""),((TIMEVALUE(E464)-TIMEVALUE(D464))*24*60),"")</f>
      </c>
      <c r="G464" s="10"/>
      <c r="H464" s="10"/>
      <c r="I464" s="10">
        <f>IF(G464="","Pending",IF(G464&gt;=J464,"Accepted",IF(G464&gt;=(J464-Configuration!$C$5),"Tolerance","Refusal")))</f>
      </c>
      <c r="J464" s="10">
        <f>IFERROR(VLOOKUP(B464,'Plot Plan'!$A:$D,4,FALSE),"")</f>
      </c>
      <c r="K464" s="10">
        <f>IFERROR(VLOOKUP(B464,'Plot Plan'!$A:$B,2,FALSE),"")</f>
      </c>
      <c r="L464" s="10">
        <f>IFERROR(VLOOKUP(B464,'Plot Plan'!$A:$C,3,FALSE),"")</f>
      </c>
    </row>
    <row r="465" spans="1:12" x14ac:dyDescent="0.25">
      <c r="A465" s="13"/>
      <c r="B465" s="11"/>
      <c r="C465" s="11"/>
      <c r="D465" s="11"/>
      <c r="E465" s="11"/>
      <c r="F465" s="11">
        <f>IF(AND(D465&lt;&gt;"",E465&lt;&gt;""),((TIMEVALUE(E465)-TIMEVALUE(D465))*24*60),"")</f>
      </c>
      <c r="G465" s="11"/>
      <c r="H465" s="11"/>
      <c r="I465" s="11">
        <f>IF(G465="","Pending",IF(G465&gt;=J465,"Accepted",IF(G465&gt;=(J465-Configuration!$C$5),"Tolerance","Refusal")))</f>
      </c>
      <c r="J465" s="11">
        <f>IFERROR(VLOOKUP(B465,'Plot Plan'!$A:$D,4,FALSE),"")</f>
      </c>
      <c r="K465" s="11">
        <f>IFERROR(VLOOKUP(B465,'Plot Plan'!$A:$B,2,FALSE),"")</f>
      </c>
      <c r="L465" s="11">
        <f>IFERROR(VLOOKUP(B465,'Plot Plan'!$A:$C,3,FALSE),"")</f>
      </c>
    </row>
    <row r="466" spans="1:12" s="8" customFormat="1" x14ac:dyDescent="0.25">
      <c r="A466" s="12"/>
      <c r="B466" s="10"/>
      <c r="C466" s="10"/>
      <c r="D466" s="10"/>
      <c r="E466" s="10"/>
      <c r="F466" s="10">
        <f>IF(AND(D466&lt;&gt;"",E466&lt;&gt;""),((TIMEVALUE(E466)-TIMEVALUE(D466))*24*60),"")</f>
      </c>
      <c r="G466" s="10"/>
      <c r="H466" s="10"/>
      <c r="I466" s="10">
        <f>IF(G466="","Pending",IF(G466&gt;=J466,"Accepted",IF(G466&gt;=(J466-Configuration!$C$5),"Tolerance","Refusal")))</f>
      </c>
      <c r="J466" s="10">
        <f>IFERROR(VLOOKUP(B466,'Plot Plan'!$A:$D,4,FALSE),"")</f>
      </c>
      <c r="K466" s="10">
        <f>IFERROR(VLOOKUP(B466,'Plot Plan'!$A:$B,2,FALSE),"")</f>
      </c>
      <c r="L466" s="10">
        <f>IFERROR(VLOOKUP(B466,'Plot Plan'!$A:$C,3,FALSE),"")</f>
      </c>
    </row>
    <row r="467" spans="1:12" x14ac:dyDescent="0.25">
      <c r="A467" s="13"/>
      <c r="B467" s="11"/>
      <c r="C467" s="11"/>
      <c r="D467" s="11"/>
      <c r="E467" s="11"/>
      <c r="F467" s="11">
        <f>IF(AND(D467&lt;&gt;"",E467&lt;&gt;""),((TIMEVALUE(E467)-TIMEVALUE(D467))*24*60),"")</f>
      </c>
      <c r="G467" s="11"/>
      <c r="H467" s="11"/>
      <c r="I467" s="11">
        <f>IF(G467="","Pending",IF(G467&gt;=J467,"Accepted",IF(G467&gt;=(J467-Configuration!$C$5),"Tolerance","Refusal")))</f>
      </c>
      <c r="J467" s="11">
        <f>IFERROR(VLOOKUP(B467,'Plot Plan'!$A:$D,4,FALSE),"")</f>
      </c>
      <c r="K467" s="11">
        <f>IFERROR(VLOOKUP(B467,'Plot Plan'!$A:$B,2,FALSE),"")</f>
      </c>
      <c r="L467" s="11">
        <f>IFERROR(VLOOKUP(B467,'Plot Plan'!$A:$C,3,FALSE),"")</f>
      </c>
    </row>
    <row r="468" spans="1:12" s="8" customFormat="1" x14ac:dyDescent="0.25">
      <c r="A468" s="12"/>
      <c r="B468" s="10"/>
      <c r="C468" s="10"/>
      <c r="D468" s="10"/>
      <c r="E468" s="10"/>
      <c r="F468" s="10">
        <f>IF(AND(D468&lt;&gt;"",E468&lt;&gt;""),((TIMEVALUE(E468)-TIMEVALUE(D468))*24*60),"")</f>
      </c>
      <c r="G468" s="10"/>
      <c r="H468" s="10"/>
      <c r="I468" s="10">
        <f>IF(G468="","Pending",IF(G468&gt;=J468,"Accepted",IF(G468&gt;=(J468-Configuration!$C$5),"Tolerance","Refusal")))</f>
      </c>
      <c r="J468" s="10">
        <f>IFERROR(VLOOKUP(B468,'Plot Plan'!$A:$D,4,FALSE),"")</f>
      </c>
      <c r="K468" s="10">
        <f>IFERROR(VLOOKUP(B468,'Plot Plan'!$A:$B,2,FALSE),"")</f>
      </c>
      <c r="L468" s="10">
        <f>IFERROR(VLOOKUP(B468,'Plot Plan'!$A:$C,3,FALSE),"")</f>
      </c>
    </row>
    <row r="469" spans="1:12" x14ac:dyDescent="0.25">
      <c r="A469" s="13"/>
      <c r="B469" s="11"/>
      <c r="C469" s="11"/>
      <c r="D469" s="11"/>
      <c r="E469" s="11"/>
      <c r="F469" s="11">
        <f>IF(AND(D469&lt;&gt;"",E469&lt;&gt;""),((TIMEVALUE(E469)-TIMEVALUE(D469))*24*60),"")</f>
      </c>
      <c r="G469" s="11"/>
      <c r="H469" s="11"/>
      <c r="I469" s="11">
        <f>IF(G469="","Pending",IF(G469&gt;=J469,"Accepted",IF(G469&gt;=(J469-Configuration!$C$5),"Tolerance","Refusal")))</f>
      </c>
      <c r="J469" s="11">
        <f>IFERROR(VLOOKUP(B469,'Plot Plan'!$A:$D,4,FALSE),"")</f>
      </c>
      <c r="K469" s="11">
        <f>IFERROR(VLOOKUP(B469,'Plot Plan'!$A:$B,2,FALSE),"")</f>
      </c>
      <c r="L469" s="11">
        <f>IFERROR(VLOOKUP(B469,'Plot Plan'!$A:$C,3,FALSE),"")</f>
      </c>
    </row>
    <row r="470" spans="1:12" s="8" customFormat="1" x14ac:dyDescent="0.25">
      <c r="A470" s="12"/>
      <c r="B470" s="10"/>
      <c r="C470" s="10"/>
      <c r="D470" s="10"/>
      <c r="E470" s="10"/>
      <c r="F470" s="10">
        <f>IF(AND(D470&lt;&gt;"",E470&lt;&gt;""),((TIMEVALUE(E470)-TIMEVALUE(D470))*24*60),"")</f>
      </c>
      <c r="G470" s="10"/>
      <c r="H470" s="10"/>
      <c r="I470" s="10">
        <f>IF(G470="","Pending",IF(G470&gt;=J470,"Accepted",IF(G470&gt;=(J470-Configuration!$C$5),"Tolerance","Refusal")))</f>
      </c>
      <c r="J470" s="10">
        <f>IFERROR(VLOOKUP(B470,'Plot Plan'!$A:$D,4,FALSE),"")</f>
      </c>
      <c r="K470" s="10">
        <f>IFERROR(VLOOKUP(B470,'Plot Plan'!$A:$B,2,FALSE),"")</f>
      </c>
      <c r="L470" s="10">
        <f>IFERROR(VLOOKUP(B470,'Plot Plan'!$A:$C,3,FALSE),"")</f>
      </c>
    </row>
    <row r="471" spans="1:12" x14ac:dyDescent="0.25">
      <c r="A471" s="13"/>
      <c r="B471" s="11"/>
      <c r="C471" s="11"/>
      <c r="D471" s="11"/>
      <c r="E471" s="11"/>
      <c r="F471" s="11">
        <f>IF(AND(D471&lt;&gt;"",E471&lt;&gt;""),((TIMEVALUE(E471)-TIMEVALUE(D471))*24*60),"")</f>
      </c>
      <c r="G471" s="11"/>
      <c r="H471" s="11"/>
      <c r="I471" s="11">
        <f>IF(G471="","Pending",IF(G471&gt;=J471,"Accepted",IF(G471&gt;=(J471-Configuration!$C$5),"Tolerance","Refusal")))</f>
      </c>
      <c r="J471" s="11">
        <f>IFERROR(VLOOKUP(B471,'Plot Plan'!$A:$D,4,FALSE),"")</f>
      </c>
      <c r="K471" s="11">
        <f>IFERROR(VLOOKUP(B471,'Plot Plan'!$A:$B,2,FALSE),"")</f>
      </c>
      <c r="L471" s="11">
        <f>IFERROR(VLOOKUP(B471,'Plot Plan'!$A:$C,3,FALSE),"")</f>
      </c>
    </row>
    <row r="472" spans="1:12" s="8" customFormat="1" x14ac:dyDescent="0.25">
      <c r="A472" s="12"/>
      <c r="B472" s="10"/>
      <c r="C472" s="10"/>
      <c r="D472" s="10"/>
      <c r="E472" s="10"/>
      <c r="F472" s="10">
        <f>IF(AND(D472&lt;&gt;"",E472&lt;&gt;""),((TIMEVALUE(E472)-TIMEVALUE(D472))*24*60),"")</f>
      </c>
      <c r="G472" s="10"/>
      <c r="H472" s="10"/>
      <c r="I472" s="10">
        <f>IF(G472="","Pending",IF(G472&gt;=J472,"Accepted",IF(G472&gt;=(J472-Configuration!$C$5),"Tolerance","Refusal")))</f>
      </c>
      <c r="J472" s="10">
        <f>IFERROR(VLOOKUP(B472,'Plot Plan'!$A:$D,4,FALSE),"")</f>
      </c>
      <c r="K472" s="10">
        <f>IFERROR(VLOOKUP(B472,'Plot Plan'!$A:$B,2,FALSE),"")</f>
      </c>
      <c r="L472" s="10">
        <f>IFERROR(VLOOKUP(B472,'Plot Plan'!$A:$C,3,FALSE),"")</f>
      </c>
    </row>
    <row r="473" spans="1:12" x14ac:dyDescent="0.25">
      <c r="A473" s="13"/>
      <c r="B473" s="11"/>
      <c r="C473" s="11"/>
      <c r="D473" s="11"/>
      <c r="E473" s="11"/>
      <c r="F473" s="11">
        <f>IF(AND(D473&lt;&gt;"",E473&lt;&gt;""),((TIMEVALUE(E473)-TIMEVALUE(D473))*24*60),"")</f>
      </c>
      <c r="G473" s="11"/>
      <c r="H473" s="11"/>
      <c r="I473" s="11">
        <f>IF(G473="","Pending",IF(G473&gt;=J473,"Accepted",IF(G473&gt;=(J473-Configuration!$C$5),"Tolerance","Refusal")))</f>
      </c>
      <c r="J473" s="11">
        <f>IFERROR(VLOOKUP(B473,'Plot Plan'!$A:$D,4,FALSE),"")</f>
      </c>
      <c r="K473" s="11">
        <f>IFERROR(VLOOKUP(B473,'Plot Plan'!$A:$B,2,FALSE),"")</f>
      </c>
      <c r="L473" s="11">
        <f>IFERROR(VLOOKUP(B473,'Plot Plan'!$A:$C,3,FALSE),"")</f>
      </c>
    </row>
    <row r="474" spans="1:12" s="8" customFormat="1" x14ac:dyDescent="0.25">
      <c r="A474" s="12"/>
      <c r="B474" s="10"/>
      <c r="C474" s="10"/>
      <c r="D474" s="10"/>
      <c r="E474" s="10"/>
      <c r="F474" s="10">
        <f>IF(AND(D474&lt;&gt;"",E474&lt;&gt;""),((TIMEVALUE(E474)-TIMEVALUE(D474))*24*60),"")</f>
      </c>
      <c r="G474" s="10"/>
      <c r="H474" s="10"/>
      <c r="I474" s="10">
        <f>IF(G474="","Pending",IF(G474&gt;=J474,"Accepted",IF(G474&gt;=(J474-Configuration!$C$5),"Tolerance","Refusal")))</f>
      </c>
      <c r="J474" s="10">
        <f>IFERROR(VLOOKUP(B474,'Plot Plan'!$A:$D,4,FALSE),"")</f>
      </c>
      <c r="K474" s="10">
        <f>IFERROR(VLOOKUP(B474,'Plot Plan'!$A:$B,2,FALSE),"")</f>
      </c>
      <c r="L474" s="10">
        <f>IFERROR(VLOOKUP(B474,'Plot Plan'!$A:$C,3,FALSE),"")</f>
      </c>
    </row>
    <row r="475" spans="1:12" x14ac:dyDescent="0.25">
      <c r="A475" s="13"/>
      <c r="B475" s="11"/>
      <c r="C475" s="11"/>
      <c r="D475" s="11"/>
      <c r="E475" s="11"/>
      <c r="F475" s="11">
        <f>IF(AND(D475&lt;&gt;"",E475&lt;&gt;""),((TIMEVALUE(E475)-TIMEVALUE(D475))*24*60),"")</f>
      </c>
      <c r="G475" s="11"/>
      <c r="H475" s="11"/>
      <c r="I475" s="11">
        <f>IF(G475="","Pending",IF(G475&gt;=J475,"Accepted",IF(G475&gt;=(J475-Configuration!$C$5),"Tolerance","Refusal")))</f>
      </c>
      <c r="J475" s="11">
        <f>IFERROR(VLOOKUP(B475,'Plot Plan'!$A:$D,4,FALSE),"")</f>
      </c>
      <c r="K475" s="11">
        <f>IFERROR(VLOOKUP(B475,'Plot Plan'!$A:$B,2,FALSE),"")</f>
      </c>
      <c r="L475" s="11">
        <f>IFERROR(VLOOKUP(B475,'Plot Plan'!$A:$C,3,FALSE),"")</f>
      </c>
    </row>
    <row r="476" spans="1:12" s="8" customFormat="1" x14ac:dyDescent="0.25">
      <c r="A476" s="12"/>
      <c r="B476" s="10"/>
      <c r="C476" s="10"/>
      <c r="D476" s="10"/>
      <c r="E476" s="10"/>
      <c r="F476" s="10">
        <f>IF(AND(D476&lt;&gt;"",E476&lt;&gt;""),((TIMEVALUE(E476)-TIMEVALUE(D476))*24*60),"")</f>
      </c>
      <c r="G476" s="10"/>
      <c r="H476" s="10"/>
      <c r="I476" s="10">
        <f>IF(G476="","Pending",IF(G476&gt;=J476,"Accepted",IF(G476&gt;=(J476-Configuration!$C$5),"Tolerance","Refusal")))</f>
      </c>
      <c r="J476" s="10">
        <f>IFERROR(VLOOKUP(B476,'Plot Plan'!$A:$D,4,FALSE),"")</f>
      </c>
      <c r="K476" s="10">
        <f>IFERROR(VLOOKUP(B476,'Plot Plan'!$A:$B,2,FALSE),"")</f>
      </c>
      <c r="L476" s="10">
        <f>IFERROR(VLOOKUP(B476,'Plot Plan'!$A:$C,3,FALSE),"")</f>
      </c>
    </row>
    <row r="477" spans="1:12" x14ac:dyDescent="0.25">
      <c r="A477" s="13"/>
      <c r="B477" s="11"/>
      <c r="C477" s="11"/>
      <c r="D477" s="11"/>
      <c r="E477" s="11"/>
      <c r="F477" s="11">
        <f>IF(AND(D477&lt;&gt;"",E477&lt;&gt;""),((TIMEVALUE(E477)-TIMEVALUE(D477))*24*60),"")</f>
      </c>
      <c r="G477" s="11"/>
      <c r="H477" s="11"/>
      <c r="I477" s="11">
        <f>IF(G477="","Pending",IF(G477&gt;=J477,"Accepted",IF(G477&gt;=(J477-Configuration!$C$5),"Tolerance","Refusal")))</f>
      </c>
      <c r="J477" s="11">
        <f>IFERROR(VLOOKUP(B477,'Plot Plan'!$A:$D,4,FALSE),"")</f>
      </c>
      <c r="K477" s="11">
        <f>IFERROR(VLOOKUP(B477,'Plot Plan'!$A:$B,2,FALSE),"")</f>
      </c>
      <c r="L477" s="11">
        <f>IFERROR(VLOOKUP(B477,'Plot Plan'!$A:$C,3,FALSE),"")</f>
      </c>
    </row>
    <row r="478" spans="1:12" s="8" customFormat="1" x14ac:dyDescent="0.25">
      <c r="A478" s="12"/>
      <c r="B478" s="10"/>
      <c r="C478" s="10"/>
      <c r="D478" s="10"/>
      <c r="E478" s="10"/>
      <c r="F478" s="10">
        <f>IF(AND(D478&lt;&gt;"",E478&lt;&gt;""),((TIMEVALUE(E478)-TIMEVALUE(D478))*24*60),"")</f>
      </c>
      <c r="G478" s="10"/>
      <c r="H478" s="10"/>
      <c r="I478" s="10">
        <f>IF(G478="","Pending",IF(G478&gt;=J478,"Accepted",IF(G478&gt;=(J478-Configuration!$C$5),"Tolerance","Refusal")))</f>
      </c>
      <c r="J478" s="10">
        <f>IFERROR(VLOOKUP(B478,'Plot Plan'!$A:$D,4,FALSE),"")</f>
      </c>
      <c r="K478" s="10">
        <f>IFERROR(VLOOKUP(B478,'Plot Plan'!$A:$B,2,FALSE),"")</f>
      </c>
      <c r="L478" s="10">
        <f>IFERROR(VLOOKUP(B478,'Plot Plan'!$A:$C,3,FALSE),"")</f>
      </c>
    </row>
    <row r="479" spans="1:12" x14ac:dyDescent="0.25">
      <c r="A479" s="13"/>
      <c r="B479" s="11"/>
      <c r="C479" s="11"/>
      <c r="D479" s="11"/>
      <c r="E479" s="11"/>
      <c r="F479" s="11">
        <f>IF(AND(D479&lt;&gt;"",E479&lt;&gt;""),((TIMEVALUE(E479)-TIMEVALUE(D479))*24*60),"")</f>
      </c>
      <c r="G479" s="11"/>
      <c r="H479" s="11"/>
      <c r="I479" s="11">
        <f>IF(G479="","Pending",IF(G479&gt;=J479,"Accepted",IF(G479&gt;=(J479-Configuration!$C$5),"Tolerance","Refusal")))</f>
      </c>
      <c r="J479" s="11">
        <f>IFERROR(VLOOKUP(B479,'Plot Plan'!$A:$D,4,FALSE),"")</f>
      </c>
      <c r="K479" s="11">
        <f>IFERROR(VLOOKUP(B479,'Plot Plan'!$A:$B,2,FALSE),"")</f>
      </c>
      <c r="L479" s="11">
        <f>IFERROR(VLOOKUP(B479,'Plot Plan'!$A:$C,3,FALSE),"")</f>
      </c>
    </row>
    <row r="480" spans="1:12" s="8" customFormat="1" x14ac:dyDescent="0.25">
      <c r="A480" s="12"/>
      <c r="B480" s="10"/>
      <c r="C480" s="10"/>
      <c r="D480" s="10"/>
      <c r="E480" s="10"/>
      <c r="F480" s="10">
        <f>IF(AND(D480&lt;&gt;"",E480&lt;&gt;""),((TIMEVALUE(E480)-TIMEVALUE(D480))*24*60),"")</f>
      </c>
      <c r="G480" s="10"/>
      <c r="H480" s="10"/>
      <c r="I480" s="10">
        <f>IF(G480="","Pending",IF(G480&gt;=J480,"Accepted",IF(G480&gt;=(J480-Configuration!$C$5),"Tolerance","Refusal")))</f>
      </c>
      <c r="J480" s="10">
        <f>IFERROR(VLOOKUP(B480,'Plot Plan'!$A:$D,4,FALSE),"")</f>
      </c>
      <c r="K480" s="10">
        <f>IFERROR(VLOOKUP(B480,'Plot Plan'!$A:$B,2,FALSE),"")</f>
      </c>
      <c r="L480" s="10">
        <f>IFERROR(VLOOKUP(B480,'Plot Plan'!$A:$C,3,FALSE),"")</f>
      </c>
    </row>
    <row r="481" spans="1:12" x14ac:dyDescent="0.25">
      <c r="A481" s="13"/>
      <c r="B481" s="11"/>
      <c r="C481" s="11"/>
      <c r="D481" s="11"/>
      <c r="E481" s="11"/>
      <c r="F481" s="11">
        <f>IF(AND(D481&lt;&gt;"",E481&lt;&gt;""),((TIMEVALUE(E481)-TIMEVALUE(D481))*24*60),"")</f>
      </c>
      <c r="G481" s="11"/>
      <c r="H481" s="11"/>
      <c r="I481" s="11">
        <f>IF(G481="","Pending",IF(G481&gt;=J481,"Accepted",IF(G481&gt;=(J481-Configuration!$C$5),"Tolerance","Refusal")))</f>
      </c>
      <c r="J481" s="11">
        <f>IFERROR(VLOOKUP(B481,'Plot Plan'!$A:$D,4,FALSE),"")</f>
      </c>
      <c r="K481" s="11">
        <f>IFERROR(VLOOKUP(B481,'Plot Plan'!$A:$B,2,FALSE),"")</f>
      </c>
      <c r="L481" s="11">
        <f>IFERROR(VLOOKUP(B481,'Plot Plan'!$A:$C,3,FALSE),"")</f>
      </c>
    </row>
    <row r="482" spans="1:12" s="8" customFormat="1" x14ac:dyDescent="0.25">
      <c r="A482" s="12"/>
      <c r="B482" s="10"/>
      <c r="C482" s="10"/>
      <c r="D482" s="10"/>
      <c r="E482" s="10"/>
      <c r="F482" s="10">
        <f>IF(AND(D482&lt;&gt;"",E482&lt;&gt;""),((TIMEVALUE(E482)-TIMEVALUE(D482))*24*60),"")</f>
      </c>
      <c r="G482" s="10"/>
      <c r="H482" s="10"/>
      <c r="I482" s="10">
        <f>IF(G482="","Pending",IF(G482&gt;=J482,"Accepted",IF(G482&gt;=(J482-Configuration!$C$5),"Tolerance","Refusal")))</f>
      </c>
      <c r="J482" s="10">
        <f>IFERROR(VLOOKUP(B482,'Plot Plan'!$A:$D,4,FALSE),"")</f>
      </c>
      <c r="K482" s="10">
        <f>IFERROR(VLOOKUP(B482,'Plot Plan'!$A:$B,2,FALSE),"")</f>
      </c>
      <c r="L482" s="10">
        <f>IFERROR(VLOOKUP(B482,'Plot Plan'!$A:$C,3,FALSE),"")</f>
      </c>
    </row>
    <row r="483" spans="1:12" x14ac:dyDescent="0.25">
      <c r="A483" s="13"/>
      <c r="B483" s="11"/>
      <c r="C483" s="11"/>
      <c r="D483" s="11"/>
      <c r="E483" s="11"/>
      <c r="F483" s="11">
        <f>IF(AND(D483&lt;&gt;"",E483&lt;&gt;""),((TIMEVALUE(E483)-TIMEVALUE(D483))*24*60),"")</f>
      </c>
      <c r="G483" s="11"/>
      <c r="H483" s="11"/>
      <c r="I483" s="11">
        <f>IF(G483="","Pending",IF(G483&gt;=J483,"Accepted",IF(G483&gt;=(J483-Configuration!$C$5),"Tolerance","Refusal")))</f>
      </c>
      <c r="J483" s="11">
        <f>IFERROR(VLOOKUP(B483,'Plot Plan'!$A:$D,4,FALSE),"")</f>
      </c>
      <c r="K483" s="11">
        <f>IFERROR(VLOOKUP(B483,'Plot Plan'!$A:$B,2,FALSE),"")</f>
      </c>
      <c r="L483" s="11">
        <f>IFERROR(VLOOKUP(B483,'Plot Plan'!$A:$C,3,FALSE),"")</f>
      </c>
    </row>
    <row r="484" spans="1:12" s="8" customFormat="1" x14ac:dyDescent="0.25">
      <c r="A484" s="12"/>
      <c r="B484" s="10"/>
      <c r="C484" s="10"/>
      <c r="D484" s="10"/>
      <c r="E484" s="10"/>
      <c r="F484" s="10">
        <f>IF(AND(D484&lt;&gt;"",E484&lt;&gt;""),((TIMEVALUE(E484)-TIMEVALUE(D484))*24*60),"")</f>
      </c>
      <c r="G484" s="10"/>
      <c r="H484" s="10"/>
      <c r="I484" s="10">
        <f>IF(G484="","Pending",IF(G484&gt;=J484,"Accepted",IF(G484&gt;=(J484-Configuration!$C$5),"Tolerance","Refusal")))</f>
      </c>
      <c r="J484" s="10">
        <f>IFERROR(VLOOKUP(B484,'Plot Plan'!$A:$D,4,FALSE),"")</f>
      </c>
      <c r="K484" s="10">
        <f>IFERROR(VLOOKUP(B484,'Plot Plan'!$A:$B,2,FALSE),"")</f>
      </c>
      <c r="L484" s="10">
        <f>IFERROR(VLOOKUP(B484,'Plot Plan'!$A:$C,3,FALSE),"")</f>
      </c>
    </row>
    <row r="485" spans="1:12" x14ac:dyDescent="0.25">
      <c r="A485" s="13"/>
      <c r="B485" s="11"/>
      <c r="C485" s="11"/>
      <c r="D485" s="11"/>
      <c r="E485" s="11"/>
      <c r="F485" s="11">
        <f>IF(AND(D485&lt;&gt;"",E485&lt;&gt;""),((TIMEVALUE(E485)-TIMEVALUE(D485))*24*60),"")</f>
      </c>
      <c r="G485" s="11"/>
      <c r="H485" s="11"/>
      <c r="I485" s="11">
        <f>IF(G485="","Pending",IF(G485&gt;=J485,"Accepted",IF(G485&gt;=(J485-Configuration!$C$5),"Tolerance","Refusal")))</f>
      </c>
      <c r="J485" s="11">
        <f>IFERROR(VLOOKUP(B485,'Plot Plan'!$A:$D,4,FALSE),"")</f>
      </c>
      <c r="K485" s="11">
        <f>IFERROR(VLOOKUP(B485,'Plot Plan'!$A:$B,2,FALSE),"")</f>
      </c>
      <c r="L485" s="11">
        <f>IFERROR(VLOOKUP(B485,'Plot Plan'!$A:$C,3,FALSE),"")</f>
      </c>
    </row>
    <row r="486" spans="1:12" s="8" customFormat="1" x14ac:dyDescent="0.25">
      <c r="A486" s="12"/>
      <c r="B486" s="10"/>
      <c r="C486" s="10"/>
      <c r="D486" s="10"/>
      <c r="E486" s="10"/>
      <c r="F486" s="10">
        <f>IF(AND(D486&lt;&gt;"",E486&lt;&gt;""),((TIMEVALUE(E486)-TIMEVALUE(D486))*24*60),"")</f>
      </c>
      <c r="G486" s="10"/>
      <c r="H486" s="10"/>
      <c r="I486" s="10">
        <f>IF(G486="","Pending",IF(G486&gt;=J486,"Accepted",IF(G486&gt;=(J486-Configuration!$C$5),"Tolerance","Refusal")))</f>
      </c>
      <c r="J486" s="10">
        <f>IFERROR(VLOOKUP(B486,'Plot Plan'!$A:$D,4,FALSE),"")</f>
      </c>
      <c r="K486" s="10">
        <f>IFERROR(VLOOKUP(B486,'Plot Plan'!$A:$B,2,FALSE),"")</f>
      </c>
      <c r="L486" s="10">
        <f>IFERROR(VLOOKUP(B486,'Plot Plan'!$A:$C,3,FALSE),"")</f>
      </c>
    </row>
    <row r="487" spans="1:12" x14ac:dyDescent="0.25">
      <c r="A487" s="13"/>
      <c r="B487" s="11"/>
      <c r="C487" s="11"/>
      <c r="D487" s="11"/>
      <c r="E487" s="11"/>
      <c r="F487" s="11">
        <f>IF(AND(D487&lt;&gt;"",E487&lt;&gt;""),((TIMEVALUE(E487)-TIMEVALUE(D487))*24*60),"")</f>
      </c>
      <c r="G487" s="11"/>
      <c r="H487" s="11"/>
      <c r="I487" s="11">
        <f>IF(G487="","Pending",IF(G487&gt;=J487,"Accepted",IF(G487&gt;=(J487-Configuration!$C$5),"Tolerance","Refusal")))</f>
      </c>
      <c r="J487" s="11">
        <f>IFERROR(VLOOKUP(B487,'Plot Plan'!$A:$D,4,FALSE),"")</f>
      </c>
      <c r="K487" s="11">
        <f>IFERROR(VLOOKUP(B487,'Plot Plan'!$A:$B,2,FALSE),"")</f>
      </c>
      <c r="L487" s="11">
        <f>IFERROR(VLOOKUP(B487,'Plot Plan'!$A:$C,3,FALSE),"")</f>
      </c>
    </row>
    <row r="488" spans="1:12" s="8" customFormat="1" x14ac:dyDescent="0.25">
      <c r="A488" s="12"/>
      <c r="B488" s="10"/>
      <c r="C488" s="10"/>
      <c r="D488" s="10"/>
      <c r="E488" s="10"/>
      <c r="F488" s="10">
        <f>IF(AND(D488&lt;&gt;"",E488&lt;&gt;""),((TIMEVALUE(E488)-TIMEVALUE(D488))*24*60),"")</f>
      </c>
      <c r="G488" s="10"/>
      <c r="H488" s="10"/>
      <c r="I488" s="10">
        <f>IF(G488="","Pending",IF(G488&gt;=J488,"Accepted",IF(G488&gt;=(J488-Configuration!$C$5),"Tolerance","Refusal")))</f>
      </c>
      <c r="J488" s="10">
        <f>IFERROR(VLOOKUP(B488,'Plot Plan'!$A:$D,4,FALSE),"")</f>
      </c>
      <c r="K488" s="10">
        <f>IFERROR(VLOOKUP(B488,'Plot Plan'!$A:$B,2,FALSE),"")</f>
      </c>
      <c r="L488" s="10">
        <f>IFERROR(VLOOKUP(B488,'Plot Plan'!$A:$C,3,FALSE),"")</f>
      </c>
    </row>
    <row r="489" spans="1:12" x14ac:dyDescent="0.25">
      <c r="A489" s="13"/>
      <c r="B489" s="11"/>
      <c r="C489" s="11"/>
      <c r="D489" s="11"/>
      <c r="E489" s="11"/>
      <c r="F489" s="11">
        <f>IF(AND(D489&lt;&gt;"",E489&lt;&gt;""),((TIMEVALUE(E489)-TIMEVALUE(D489))*24*60),"")</f>
      </c>
      <c r="G489" s="11"/>
      <c r="H489" s="11"/>
      <c r="I489" s="11">
        <f>IF(G489="","Pending",IF(G489&gt;=J489,"Accepted",IF(G489&gt;=(J489-Configuration!$C$5),"Tolerance","Refusal")))</f>
      </c>
      <c r="J489" s="11">
        <f>IFERROR(VLOOKUP(B489,'Plot Plan'!$A:$D,4,FALSE),"")</f>
      </c>
      <c r="K489" s="11">
        <f>IFERROR(VLOOKUP(B489,'Plot Plan'!$A:$B,2,FALSE),"")</f>
      </c>
      <c r="L489" s="11">
        <f>IFERROR(VLOOKUP(B489,'Plot Plan'!$A:$C,3,FALSE),"")</f>
      </c>
    </row>
    <row r="490" spans="1:12" s="8" customFormat="1" x14ac:dyDescent="0.25">
      <c r="A490" s="12"/>
      <c r="B490" s="10"/>
      <c r="C490" s="10"/>
      <c r="D490" s="10"/>
      <c r="E490" s="10"/>
      <c r="F490" s="10">
        <f>IF(AND(D490&lt;&gt;"",E490&lt;&gt;""),((TIMEVALUE(E490)-TIMEVALUE(D490))*24*60),"")</f>
      </c>
      <c r="G490" s="10"/>
      <c r="H490" s="10"/>
      <c r="I490" s="10">
        <f>IF(G490="","Pending",IF(G490&gt;=J490,"Accepted",IF(G490&gt;=(J490-Configuration!$C$5),"Tolerance","Refusal")))</f>
      </c>
      <c r="J490" s="10">
        <f>IFERROR(VLOOKUP(B490,'Plot Plan'!$A:$D,4,FALSE),"")</f>
      </c>
      <c r="K490" s="10">
        <f>IFERROR(VLOOKUP(B490,'Plot Plan'!$A:$B,2,FALSE),"")</f>
      </c>
      <c r="L490" s="10">
        <f>IFERROR(VLOOKUP(B490,'Plot Plan'!$A:$C,3,FALSE),"")</f>
      </c>
    </row>
    <row r="491" spans="1:12" x14ac:dyDescent="0.25">
      <c r="A491" s="13"/>
      <c r="B491" s="11"/>
      <c r="C491" s="11"/>
      <c r="D491" s="11"/>
      <c r="E491" s="11"/>
      <c r="F491" s="11">
        <f>IF(AND(D491&lt;&gt;"",E491&lt;&gt;""),((TIMEVALUE(E491)-TIMEVALUE(D491))*24*60),"")</f>
      </c>
      <c r="G491" s="11"/>
      <c r="H491" s="11"/>
      <c r="I491" s="11">
        <f>IF(G491="","Pending",IF(G491&gt;=J491,"Accepted",IF(G491&gt;=(J491-Configuration!$C$5),"Tolerance","Refusal")))</f>
      </c>
      <c r="J491" s="11">
        <f>IFERROR(VLOOKUP(B491,'Plot Plan'!$A:$D,4,FALSE),"")</f>
      </c>
      <c r="K491" s="11">
        <f>IFERROR(VLOOKUP(B491,'Plot Plan'!$A:$B,2,FALSE),"")</f>
      </c>
      <c r="L491" s="11">
        <f>IFERROR(VLOOKUP(B491,'Plot Plan'!$A:$C,3,FALSE),"")</f>
      </c>
    </row>
    <row r="492" spans="1:12" s="8" customFormat="1" x14ac:dyDescent="0.25">
      <c r="A492" s="12"/>
      <c r="B492" s="10"/>
      <c r="C492" s="10"/>
      <c r="D492" s="10"/>
      <c r="E492" s="10"/>
      <c r="F492" s="10">
        <f>IF(AND(D492&lt;&gt;"",E492&lt;&gt;""),((TIMEVALUE(E492)-TIMEVALUE(D492))*24*60),"")</f>
      </c>
      <c r="G492" s="10"/>
      <c r="H492" s="10"/>
      <c r="I492" s="10">
        <f>IF(G492="","Pending",IF(G492&gt;=J492,"Accepted",IF(G492&gt;=(J492-Configuration!$C$5),"Tolerance","Refusal")))</f>
      </c>
      <c r="J492" s="10">
        <f>IFERROR(VLOOKUP(B492,'Plot Plan'!$A:$D,4,FALSE),"")</f>
      </c>
      <c r="K492" s="10">
        <f>IFERROR(VLOOKUP(B492,'Plot Plan'!$A:$B,2,FALSE),"")</f>
      </c>
      <c r="L492" s="10">
        <f>IFERROR(VLOOKUP(B492,'Plot Plan'!$A:$C,3,FALSE),"")</f>
      </c>
    </row>
    <row r="493" spans="1:12" x14ac:dyDescent="0.25">
      <c r="A493" s="13"/>
      <c r="B493" s="11"/>
      <c r="C493" s="11"/>
      <c r="D493" s="11"/>
      <c r="E493" s="11"/>
      <c r="F493" s="11">
        <f>IF(AND(D493&lt;&gt;"",E493&lt;&gt;""),((TIMEVALUE(E493)-TIMEVALUE(D493))*24*60),"")</f>
      </c>
      <c r="G493" s="11"/>
      <c r="H493" s="11"/>
      <c r="I493" s="11">
        <f>IF(G493="","Pending",IF(G493&gt;=J493,"Accepted",IF(G493&gt;=(J493-Configuration!$C$5),"Tolerance","Refusal")))</f>
      </c>
      <c r="J493" s="11">
        <f>IFERROR(VLOOKUP(B493,'Plot Plan'!$A:$D,4,FALSE),"")</f>
      </c>
      <c r="K493" s="11">
        <f>IFERROR(VLOOKUP(B493,'Plot Plan'!$A:$B,2,FALSE),"")</f>
      </c>
      <c r="L493" s="11">
        <f>IFERROR(VLOOKUP(B493,'Plot Plan'!$A:$C,3,FALSE),"")</f>
      </c>
    </row>
    <row r="494" spans="1:12" s="8" customFormat="1" x14ac:dyDescent="0.25">
      <c r="A494" s="12"/>
      <c r="B494" s="10"/>
      <c r="C494" s="10"/>
      <c r="D494" s="10"/>
      <c r="E494" s="10"/>
      <c r="F494" s="10">
        <f>IF(AND(D494&lt;&gt;"",E494&lt;&gt;""),((TIMEVALUE(E494)-TIMEVALUE(D494))*24*60),"")</f>
      </c>
      <c r="G494" s="10"/>
      <c r="H494" s="10"/>
      <c r="I494" s="10">
        <f>IF(G494="","Pending",IF(G494&gt;=J494,"Accepted",IF(G494&gt;=(J494-Configuration!$C$5),"Tolerance","Refusal")))</f>
      </c>
      <c r="J494" s="10">
        <f>IFERROR(VLOOKUP(B494,'Plot Plan'!$A:$D,4,FALSE),"")</f>
      </c>
      <c r="K494" s="10">
        <f>IFERROR(VLOOKUP(B494,'Plot Plan'!$A:$B,2,FALSE),"")</f>
      </c>
      <c r="L494" s="10">
        <f>IFERROR(VLOOKUP(B494,'Plot Plan'!$A:$C,3,FALSE),"")</f>
      </c>
    </row>
    <row r="495" spans="1:12" x14ac:dyDescent="0.25">
      <c r="A495" s="13"/>
      <c r="B495" s="11"/>
      <c r="C495" s="11"/>
      <c r="D495" s="11"/>
      <c r="E495" s="11"/>
      <c r="F495" s="11">
        <f>IF(AND(D495&lt;&gt;"",E495&lt;&gt;""),((TIMEVALUE(E495)-TIMEVALUE(D495))*24*60),"")</f>
      </c>
      <c r="G495" s="11"/>
      <c r="H495" s="11"/>
      <c r="I495" s="11">
        <f>IF(G495="","Pending",IF(G495&gt;=J495,"Accepted",IF(G495&gt;=(J495-Configuration!$C$5),"Tolerance","Refusal")))</f>
      </c>
      <c r="J495" s="11">
        <f>IFERROR(VLOOKUP(B495,'Plot Plan'!$A:$D,4,FALSE),"")</f>
      </c>
      <c r="K495" s="11">
        <f>IFERROR(VLOOKUP(B495,'Plot Plan'!$A:$B,2,FALSE),"")</f>
      </c>
      <c r="L495" s="11">
        <f>IFERROR(VLOOKUP(B495,'Plot Plan'!$A:$C,3,FALSE),"")</f>
      </c>
    </row>
    <row r="496" spans="1:12" s="8" customFormat="1" x14ac:dyDescent="0.25">
      <c r="A496" s="12"/>
      <c r="B496" s="10"/>
      <c r="C496" s="10"/>
      <c r="D496" s="10"/>
      <c r="E496" s="10"/>
      <c r="F496" s="10">
        <f>IF(AND(D496&lt;&gt;"",E496&lt;&gt;""),((TIMEVALUE(E496)-TIMEVALUE(D496))*24*60),"")</f>
      </c>
      <c r="G496" s="10"/>
      <c r="H496" s="10"/>
      <c r="I496" s="10">
        <f>IF(G496="","Pending",IF(G496&gt;=J496,"Accepted",IF(G496&gt;=(J496-Configuration!$C$5),"Tolerance","Refusal")))</f>
      </c>
      <c r="J496" s="10">
        <f>IFERROR(VLOOKUP(B496,'Plot Plan'!$A:$D,4,FALSE),"")</f>
      </c>
      <c r="K496" s="10">
        <f>IFERROR(VLOOKUP(B496,'Plot Plan'!$A:$B,2,FALSE),"")</f>
      </c>
      <c r="L496" s="10">
        <f>IFERROR(VLOOKUP(B496,'Plot Plan'!$A:$C,3,FALSE),"")</f>
      </c>
    </row>
    <row r="497" spans="1:12" x14ac:dyDescent="0.25">
      <c r="A497" s="13"/>
      <c r="B497" s="11"/>
      <c r="C497" s="11"/>
      <c r="D497" s="11"/>
      <c r="E497" s="11"/>
      <c r="F497" s="11">
        <f>IF(AND(D497&lt;&gt;"",E497&lt;&gt;""),((TIMEVALUE(E497)-TIMEVALUE(D497))*24*60),"")</f>
      </c>
      <c r="G497" s="11"/>
      <c r="H497" s="11"/>
      <c r="I497" s="11">
        <f>IF(G497="","Pending",IF(G497&gt;=J497,"Accepted",IF(G497&gt;=(J497-Configuration!$C$5),"Tolerance","Refusal")))</f>
      </c>
      <c r="J497" s="11">
        <f>IFERROR(VLOOKUP(B497,'Plot Plan'!$A:$D,4,FALSE),"")</f>
      </c>
      <c r="K497" s="11">
        <f>IFERROR(VLOOKUP(B497,'Plot Plan'!$A:$B,2,FALSE),"")</f>
      </c>
      <c r="L497" s="11">
        <f>IFERROR(VLOOKUP(B497,'Plot Plan'!$A:$C,3,FALSE),"")</f>
      </c>
    </row>
    <row r="498" spans="1:12" s="8" customFormat="1" x14ac:dyDescent="0.25">
      <c r="A498" s="12"/>
      <c r="B498" s="10"/>
      <c r="C498" s="10"/>
      <c r="D498" s="10"/>
      <c r="E498" s="10"/>
      <c r="F498" s="10">
        <f>IF(AND(D498&lt;&gt;"",E498&lt;&gt;""),((TIMEVALUE(E498)-TIMEVALUE(D498))*24*60),"")</f>
      </c>
      <c r="G498" s="10"/>
      <c r="H498" s="10"/>
      <c r="I498" s="10">
        <f>IF(G498="","Pending",IF(G498&gt;=J498,"Accepted",IF(G498&gt;=(J498-Configuration!$C$5),"Tolerance","Refusal")))</f>
      </c>
      <c r="J498" s="10">
        <f>IFERROR(VLOOKUP(B498,'Plot Plan'!$A:$D,4,FALSE),"")</f>
      </c>
      <c r="K498" s="10">
        <f>IFERROR(VLOOKUP(B498,'Plot Plan'!$A:$B,2,FALSE),"")</f>
      </c>
      <c r="L498" s="10">
        <f>IFERROR(VLOOKUP(B498,'Plot Plan'!$A:$C,3,FALSE),"")</f>
      </c>
    </row>
    <row r="499" spans="1:12" x14ac:dyDescent="0.25">
      <c r="A499" s="13"/>
      <c r="B499" s="11"/>
      <c r="C499" s="11"/>
      <c r="D499" s="11"/>
      <c r="E499" s="11"/>
      <c r="F499" s="11">
        <f>IF(AND(D499&lt;&gt;"",E499&lt;&gt;""),((TIMEVALUE(E499)-TIMEVALUE(D499))*24*60),"")</f>
      </c>
      <c r="G499" s="11"/>
      <c r="H499" s="11"/>
      <c r="I499" s="11">
        <f>IF(G499="","Pending",IF(G499&gt;=J499,"Accepted",IF(G499&gt;=(J499-Configuration!$C$5),"Tolerance","Refusal")))</f>
      </c>
      <c r="J499" s="11">
        <f>IFERROR(VLOOKUP(B499,'Plot Plan'!$A:$D,4,FALSE),"")</f>
      </c>
      <c r="K499" s="11">
        <f>IFERROR(VLOOKUP(B499,'Plot Plan'!$A:$B,2,FALSE),"")</f>
      </c>
      <c r="L499" s="11">
        <f>IFERROR(VLOOKUP(B499,'Plot Plan'!$A:$C,3,FALSE),"")</f>
      </c>
    </row>
    <row r="500" spans="1:12" s="8" customFormat="1" x14ac:dyDescent="0.25">
      <c r="A500" s="12"/>
      <c r="B500" s="10"/>
      <c r="C500" s="10"/>
      <c r="D500" s="10"/>
      <c r="E500" s="10"/>
      <c r="F500" s="10">
        <f>IF(AND(D500&lt;&gt;"",E500&lt;&gt;""),((TIMEVALUE(E500)-TIMEVALUE(D500))*24*60),"")</f>
      </c>
      <c r="G500" s="10"/>
      <c r="H500" s="10"/>
      <c r="I500" s="10">
        <f>IF(G500="","Pending",IF(G500&gt;=J500,"Accepted",IF(G500&gt;=(J500-Configuration!$C$5),"Tolerance","Refusal")))</f>
      </c>
      <c r="J500" s="10">
        <f>IFERROR(VLOOKUP(B500,'Plot Plan'!$A:$D,4,FALSE),"")</f>
      </c>
      <c r="K500" s="10">
        <f>IFERROR(VLOOKUP(B500,'Plot Plan'!$A:$B,2,FALSE),"")</f>
      </c>
      <c r="L500" s="10">
        <f>IFERROR(VLOOKUP(B500,'Plot Plan'!$A:$C,3,FALSE),"")</f>
      </c>
    </row>
    <row r="501" spans="1:12" x14ac:dyDescent="0.25">
      <c r="A501" s="13"/>
      <c r="B501" s="11"/>
      <c r="C501" s="11"/>
      <c r="D501" s="11"/>
      <c r="E501" s="11"/>
      <c r="F501" s="11">
        <f>IF(AND(D501&lt;&gt;"",E501&lt;&gt;""),((TIMEVALUE(E501)-TIMEVALUE(D501))*24*60),"")</f>
      </c>
      <c r="G501" s="11"/>
      <c r="H501" s="11"/>
      <c r="I501" s="11">
        <f>IF(G501="","Pending",IF(G501&gt;=J501,"Accepted",IF(G501&gt;=(J501-Configuration!$C$5),"Tolerance","Refusal")))</f>
      </c>
      <c r="J501" s="11">
        <f>IFERROR(VLOOKUP(B501,'Plot Plan'!$A:$D,4,FALSE),"")</f>
      </c>
      <c r="K501" s="11">
        <f>IFERROR(VLOOKUP(B501,'Plot Plan'!$A:$B,2,FALSE),"")</f>
      </c>
      <c r="L501" s="11">
        <f>IFERROR(VLOOKUP(B501,'Plot Plan'!$A:$C,3,FALSE),"")</f>
      </c>
    </row>
    <row r="502" spans="1:12" s="8" customFormat="1" x14ac:dyDescent="0.25">
      <c r="A502" s="12"/>
      <c r="B502" s="10"/>
      <c r="C502" s="10"/>
      <c r="D502" s="10"/>
      <c r="E502" s="10"/>
      <c r="F502" s="10">
        <f>IF(AND(D502&lt;&gt;"",E502&lt;&gt;""),((TIMEVALUE(E502)-TIMEVALUE(D502))*24*60),"")</f>
      </c>
      <c r="G502" s="10"/>
      <c r="H502" s="10"/>
      <c r="I502" s="10">
        <f>IF(G502="","Pending",IF(G502&gt;=J502,"Accepted",IF(G502&gt;=(J502-Configuration!$C$5),"Tolerance","Refusal")))</f>
      </c>
      <c r="J502" s="10">
        <f>IFERROR(VLOOKUP(B502,'Plot Plan'!$A:$D,4,FALSE),"")</f>
      </c>
      <c r="K502" s="10">
        <f>IFERROR(VLOOKUP(B502,'Plot Plan'!$A:$B,2,FALSE),"")</f>
      </c>
      <c r="L502" s="10">
        <f>IFERROR(VLOOKUP(B502,'Plot Plan'!$A:$C,3,FALSE),"")</f>
      </c>
    </row>
    <row r="503" spans="1:12" x14ac:dyDescent="0.25">
      <c r="A503" s="13"/>
      <c r="B503" s="11"/>
      <c r="C503" s="11"/>
      <c r="D503" s="11"/>
      <c r="E503" s="11"/>
      <c r="F503" s="11">
        <f>IF(AND(D503&lt;&gt;"",E503&lt;&gt;""),((TIMEVALUE(E503)-TIMEVALUE(D503))*24*60),"")</f>
      </c>
      <c r="G503" s="11"/>
      <c r="H503" s="11"/>
      <c r="I503" s="11">
        <f>IF(G503="","Pending",IF(G503&gt;=J503,"Accepted",IF(G503&gt;=(J503-Configuration!$C$5),"Tolerance","Refusal")))</f>
      </c>
      <c r="J503" s="11">
        <f>IFERROR(VLOOKUP(B503,'Plot Plan'!$A:$D,4,FALSE),"")</f>
      </c>
      <c r="K503" s="11">
        <f>IFERROR(VLOOKUP(B503,'Plot Plan'!$A:$B,2,FALSE),"")</f>
      </c>
      <c r="L503" s="11">
        <f>IFERROR(VLOOKUP(B503,'Plot Plan'!$A:$C,3,FALSE),"")</f>
      </c>
    </row>
    <row r="504" spans="1:12" s="8" customFormat="1" x14ac:dyDescent="0.25">
      <c r="A504" s="12"/>
      <c r="B504" s="10"/>
      <c r="C504" s="10"/>
      <c r="D504" s="10"/>
      <c r="E504" s="10"/>
      <c r="F504" s="10">
        <f>IF(AND(D504&lt;&gt;"",E504&lt;&gt;""),((TIMEVALUE(E504)-TIMEVALUE(D504))*24*60),"")</f>
      </c>
      <c r="G504" s="10"/>
      <c r="H504" s="10"/>
      <c r="I504" s="10">
        <f>IF(G504="","Pending",IF(G504&gt;=J504,"Accepted",IF(G504&gt;=(J504-Configuration!$C$5),"Tolerance","Refusal")))</f>
      </c>
      <c r="J504" s="10">
        <f>IFERROR(VLOOKUP(B504,'Plot Plan'!$A:$D,4,FALSE),"")</f>
      </c>
      <c r="K504" s="10">
        <f>IFERROR(VLOOKUP(B504,'Plot Plan'!$A:$B,2,FALSE),"")</f>
      </c>
      <c r="L504" s="10">
        <f>IFERROR(VLOOKUP(B504,'Plot Plan'!$A:$C,3,FALSE),"")</f>
      </c>
    </row>
    <row r="505" spans="1:12" x14ac:dyDescent="0.25">
      <c r="A505" s="13"/>
      <c r="B505" s="11"/>
      <c r="C505" s="11"/>
      <c r="D505" s="11"/>
      <c r="E505" s="11"/>
      <c r="F505" s="11">
        <f>IF(AND(D505&lt;&gt;"",E505&lt;&gt;""),((TIMEVALUE(E505)-TIMEVALUE(D505))*24*60),"")</f>
      </c>
      <c r="G505" s="11"/>
      <c r="H505" s="11"/>
      <c r="I505" s="11">
        <f>IF(G505="","Pending",IF(G505&gt;=J505,"Accepted",IF(G505&gt;=(J505-Configuration!$C$5),"Tolerance","Refusal")))</f>
      </c>
      <c r="J505" s="11">
        <f>IFERROR(VLOOKUP(B505,'Plot Plan'!$A:$D,4,FALSE),"")</f>
      </c>
      <c r="K505" s="11">
        <f>IFERROR(VLOOKUP(B505,'Plot Plan'!$A:$B,2,FALSE),"")</f>
      </c>
      <c r="L505" s="11">
        <f>IFERROR(VLOOKUP(B505,'Plot Plan'!$A:$C,3,FALSE),"")</f>
      </c>
    </row>
    <row r="506" spans="1:12" s="8" customFormat="1" x14ac:dyDescent="0.25">
      <c r="A506" s="12"/>
      <c r="B506" s="10"/>
      <c r="C506" s="10"/>
      <c r="D506" s="10"/>
      <c r="E506" s="10"/>
      <c r="F506" s="10">
        <f>IF(AND(D506&lt;&gt;"",E506&lt;&gt;""),((TIMEVALUE(E506)-TIMEVALUE(D506))*24*60),"")</f>
      </c>
      <c r="G506" s="10"/>
      <c r="H506" s="10"/>
      <c r="I506" s="10">
        <f>IF(G506="","Pending",IF(G506&gt;=J506,"Accepted",IF(G506&gt;=(J506-Configuration!$C$5),"Tolerance","Refusal")))</f>
      </c>
      <c r="J506" s="10">
        <f>IFERROR(VLOOKUP(B506,'Plot Plan'!$A:$D,4,FALSE),"")</f>
      </c>
      <c r="K506" s="10">
        <f>IFERROR(VLOOKUP(B506,'Plot Plan'!$A:$B,2,FALSE),"")</f>
      </c>
      <c r="L506" s="10">
        <f>IFERROR(VLOOKUP(B506,'Plot Plan'!$A:$C,3,FALSE),"")</f>
      </c>
    </row>
    <row r="507" spans="1:12" x14ac:dyDescent="0.25">
      <c r="A507" s="13"/>
      <c r="B507" s="11"/>
      <c r="C507" s="11"/>
      <c r="D507" s="11"/>
      <c r="E507" s="11"/>
      <c r="F507" s="11">
        <f>IF(AND(D507&lt;&gt;"",E507&lt;&gt;""),((TIMEVALUE(E507)-TIMEVALUE(D507))*24*60),"")</f>
      </c>
      <c r="G507" s="11"/>
      <c r="H507" s="11"/>
      <c r="I507" s="11">
        <f>IF(G507="","Pending",IF(G507&gt;=J507,"Accepted",IF(G507&gt;=(J507-Configuration!$C$5),"Tolerance","Refusal")))</f>
      </c>
      <c r="J507" s="11">
        <f>IFERROR(VLOOKUP(B507,'Plot Plan'!$A:$D,4,FALSE),"")</f>
      </c>
      <c r="K507" s="11">
        <f>IFERROR(VLOOKUP(B507,'Plot Plan'!$A:$B,2,FALSE),"")</f>
      </c>
      <c r="L507" s="11">
        <f>IFERROR(VLOOKUP(B507,'Plot Plan'!$A:$C,3,FALSE),"")</f>
      </c>
    </row>
    <row r="508" spans="1:12" s="8" customFormat="1" x14ac:dyDescent="0.25">
      <c r="A508" s="12"/>
      <c r="B508" s="10"/>
      <c r="C508" s="10"/>
      <c r="D508" s="10"/>
      <c r="E508" s="10"/>
      <c r="F508" s="10">
        <f>IF(AND(D508&lt;&gt;"",E508&lt;&gt;""),((TIMEVALUE(E508)-TIMEVALUE(D508))*24*60),"")</f>
      </c>
      <c r="G508" s="10"/>
      <c r="H508" s="10"/>
      <c r="I508" s="10">
        <f>IF(G508="","Pending",IF(G508&gt;=J508,"Accepted",IF(G508&gt;=(J508-Configuration!$C$5),"Tolerance","Refusal")))</f>
      </c>
      <c r="J508" s="10">
        <f>IFERROR(VLOOKUP(B508,'Plot Plan'!$A:$D,4,FALSE),"")</f>
      </c>
      <c r="K508" s="10">
        <f>IFERROR(VLOOKUP(B508,'Plot Plan'!$A:$B,2,FALSE),"")</f>
      </c>
      <c r="L508" s="10">
        <f>IFERROR(VLOOKUP(B508,'Plot Plan'!$A:$C,3,FALSE),"")</f>
      </c>
    </row>
    <row r="509" spans="1:12" x14ac:dyDescent="0.25">
      <c r="A509" s="13"/>
      <c r="B509" s="11"/>
      <c r="C509" s="11"/>
      <c r="D509" s="11"/>
      <c r="E509" s="11"/>
      <c r="F509" s="11">
        <f>IF(AND(D509&lt;&gt;"",E509&lt;&gt;""),((TIMEVALUE(E509)-TIMEVALUE(D509))*24*60),"")</f>
      </c>
      <c r="G509" s="11"/>
      <c r="H509" s="11"/>
      <c r="I509" s="11">
        <f>IF(G509="","Pending",IF(G509&gt;=J509,"Accepted",IF(G509&gt;=(J509-Configuration!$C$5),"Tolerance","Refusal")))</f>
      </c>
      <c r="J509" s="11">
        <f>IFERROR(VLOOKUP(B509,'Plot Plan'!$A:$D,4,FALSE),"")</f>
      </c>
      <c r="K509" s="11">
        <f>IFERROR(VLOOKUP(B509,'Plot Plan'!$A:$B,2,FALSE),"")</f>
      </c>
      <c r="L509" s="11">
        <f>IFERROR(VLOOKUP(B509,'Plot Plan'!$A:$C,3,FALSE),"")</f>
      </c>
    </row>
    <row r="510" spans="1:12" s="8" customFormat="1" x14ac:dyDescent="0.25">
      <c r="A510" s="12"/>
      <c r="B510" s="10"/>
      <c r="C510" s="10"/>
      <c r="D510" s="10"/>
      <c r="E510" s="10"/>
      <c r="F510" s="10">
        <f>IF(AND(D510&lt;&gt;"",E510&lt;&gt;""),((TIMEVALUE(E510)-TIMEVALUE(D510))*24*60),"")</f>
      </c>
      <c r="G510" s="10"/>
      <c r="H510" s="10"/>
      <c r="I510" s="10">
        <f>IF(G510="","Pending",IF(G510&gt;=J510,"Accepted",IF(G510&gt;=(J510-Configuration!$C$5),"Tolerance","Refusal")))</f>
      </c>
      <c r="J510" s="10">
        <f>IFERROR(VLOOKUP(B510,'Plot Plan'!$A:$D,4,FALSE),"")</f>
      </c>
      <c r="K510" s="10">
        <f>IFERROR(VLOOKUP(B510,'Plot Plan'!$A:$B,2,FALSE),"")</f>
      </c>
      <c r="L510" s="10">
        <f>IFERROR(VLOOKUP(B510,'Plot Plan'!$A:$C,3,FALSE),"")</f>
      </c>
    </row>
    <row r="511" spans="1:12" x14ac:dyDescent="0.25">
      <c r="A511" s="13"/>
      <c r="B511" s="11"/>
      <c r="C511" s="11"/>
      <c r="D511" s="11"/>
      <c r="E511" s="11"/>
      <c r="F511" s="11">
        <f>IF(AND(D511&lt;&gt;"",E511&lt;&gt;""),((TIMEVALUE(E511)-TIMEVALUE(D511))*24*60),"")</f>
      </c>
      <c r="G511" s="11"/>
      <c r="H511" s="11"/>
      <c r="I511" s="11">
        <f>IF(G511="","Pending",IF(G511&gt;=J511,"Accepted",IF(G511&gt;=(J511-Configuration!$C$5),"Tolerance","Refusal")))</f>
      </c>
      <c r="J511" s="11">
        <f>IFERROR(VLOOKUP(B511,'Plot Plan'!$A:$D,4,FALSE),"")</f>
      </c>
      <c r="K511" s="11">
        <f>IFERROR(VLOOKUP(B511,'Plot Plan'!$A:$B,2,FALSE),"")</f>
      </c>
      <c r="L511" s="11">
        <f>IFERROR(VLOOKUP(B511,'Plot Plan'!$A:$C,3,FALSE),"")</f>
      </c>
    </row>
    <row r="512" spans="1:12" s="8" customFormat="1" x14ac:dyDescent="0.25">
      <c r="A512" s="12"/>
      <c r="B512" s="10"/>
      <c r="C512" s="10"/>
      <c r="D512" s="10"/>
      <c r="E512" s="10"/>
      <c r="F512" s="10">
        <f>IF(AND(D512&lt;&gt;"",E512&lt;&gt;""),((TIMEVALUE(E512)-TIMEVALUE(D512))*24*60),"")</f>
      </c>
      <c r="G512" s="10"/>
      <c r="H512" s="10"/>
      <c r="I512" s="10">
        <f>IF(G512="","Pending",IF(G512&gt;=J512,"Accepted",IF(G512&gt;=(J512-Configuration!$C$5),"Tolerance","Refusal")))</f>
      </c>
      <c r="J512" s="10">
        <f>IFERROR(VLOOKUP(B512,'Plot Plan'!$A:$D,4,FALSE),"")</f>
      </c>
      <c r="K512" s="10">
        <f>IFERROR(VLOOKUP(B512,'Plot Plan'!$A:$B,2,FALSE),"")</f>
      </c>
      <c r="L512" s="10">
        <f>IFERROR(VLOOKUP(B512,'Plot Plan'!$A:$C,3,FALSE),"")</f>
      </c>
    </row>
    <row r="513" spans="1:12" x14ac:dyDescent="0.25">
      <c r="A513" s="13"/>
      <c r="B513" s="11"/>
      <c r="C513" s="11"/>
      <c r="D513" s="11"/>
      <c r="E513" s="11"/>
      <c r="F513" s="11">
        <f>IF(AND(D513&lt;&gt;"",E513&lt;&gt;""),((TIMEVALUE(E513)-TIMEVALUE(D513))*24*60),"")</f>
      </c>
      <c r="G513" s="11"/>
      <c r="H513" s="11"/>
      <c r="I513" s="11">
        <f>IF(G513="","Pending",IF(G513&gt;=J513,"Accepted",IF(G513&gt;=(J513-Configuration!$C$5),"Tolerance","Refusal")))</f>
      </c>
      <c r="J513" s="11">
        <f>IFERROR(VLOOKUP(B513,'Plot Plan'!$A:$D,4,FALSE),"")</f>
      </c>
      <c r="K513" s="11">
        <f>IFERROR(VLOOKUP(B513,'Plot Plan'!$A:$B,2,FALSE),"")</f>
      </c>
      <c r="L513" s="11">
        <f>IFERROR(VLOOKUP(B513,'Plot Plan'!$A:$C,3,FALSE),"")</f>
      </c>
    </row>
    <row r="514" spans="1:12" s="8" customFormat="1" x14ac:dyDescent="0.25">
      <c r="A514" s="12"/>
      <c r="B514" s="10"/>
      <c r="C514" s="10"/>
      <c r="D514" s="10"/>
      <c r="E514" s="10"/>
      <c r="F514" s="10">
        <f>IF(AND(D514&lt;&gt;"",E514&lt;&gt;""),((TIMEVALUE(E514)-TIMEVALUE(D514))*24*60),"")</f>
      </c>
      <c r="G514" s="10"/>
      <c r="H514" s="10"/>
      <c r="I514" s="10">
        <f>IF(G514="","Pending",IF(G514&gt;=J514,"Accepted",IF(G514&gt;=(J514-Configuration!$C$5),"Tolerance","Refusal")))</f>
      </c>
      <c r="J514" s="10">
        <f>IFERROR(VLOOKUP(B514,'Plot Plan'!$A:$D,4,FALSE),"")</f>
      </c>
      <c r="K514" s="10">
        <f>IFERROR(VLOOKUP(B514,'Plot Plan'!$A:$B,2,FALSE),"")</f>
      </c>
      <c r="L514" s="10">
        <f>IFERROR(VLOOKUP(B514,'Plot Plan'!$A:$C,3,FALSE),"")</f>
      </c>
    </row>
    <row r="515" spans="1:12" x14ac:dyDescent="0.25">
      <c r="A515" s="13"/>
      <c r="B515" s="11"/>
      <c r="C515" s="11"/>
      <c r="D515" s="11"/>
      <c r="E515" s="11"/>
      <c r="F515" s="11">
        <f>IF(AND(D515&lt;&gt;"",E515&lt;&gt;""),((TIMEVALUE(E515)-TIMEVALUE(D515))*24*60),"")</f>
      </c>
      <c r="G515" s="11"/>
      <c r="H515" s="11"/>
      <c r="I515" s="11">
        <f>IF(G515="","Pending",IF(G515&gt;=J515,"Accepted",IF(G515&gt;=(J515-Configuration!$C$5),"Tolerance","Refusal")))</f>
      </c>
      <c r="J515" s="11">
        <f>IFERROR(VLOOKUP(B515,'Plot Plan'!$A:$D,4,FALSE),"")</f>
      </c>
      <c r="K515" s="11">
        <f>IFERROR(VLOOKUP(B515,'Plot Plan'!$A:$B,2,FALSE),"")</f>
      </c>
      <c r="L515" s="11">
        <f>IFERROR(VLOOKUP(B515,'Plot Plan'!$A:$C,3,FALSE),"")</f>
      </c>
    </row>
    <row r="516" spans="1:12" s="8" customFormat="1" x14ac:dyDescent="0.25">
      <c r="A516" s="12"/>
      <c r="B516" s="10"/>
      <c r="C516" s="10"/>
      <c r="D516" s="10"/>
      <c r="E516" s="10"/>
      <c r="F516" s="10">
        <f>IF(AND(D516&lt;&gt;"",E516&lt;&gt;""),((TIMEVALUE(E516)-TIMEVALUE(D516))*24*60),"")</f>
      </c>
      <c r="G516" s="10"/>
      <c r="H516" s="10"/>
      <c r="I516" s="10">
        <f>IF(G516="","Pending",IF(G516&gt;=J516,"Accepted",IF(G516&gt;=(J516-Configuration!$C$5),"Tolerance","Refusal")))</f>
      </c>
      <c r="J516" s="10">
        <f>IFERROR(VLOOKUP(B516,'Plot Plan'!$A:$D,4,FALSE),"")</f>
      </c>
      <c r="K516" s="10">
        <f>IFERROR(VLOOKUP(B516,'Plot Plan'!$A:$B,2,FALSE),"")</f>
      </c>
      <c r="L516" s="10">
        <f>IFERROR(VLOOKUP(B516,'Plot Plan'!$A:$C,3,FALSE),"")</f>
      </c>
    </row>
    <row r="517" spans="1:12" x14ac:dyDescent="0.25">
      <c r="A517" s="13"/>
      <c r="B517" s="11"/>
      <c r="C517" s="11"/>
      <c r="D517" s="11"/>
      <c r="E517" s="11"/>
      <c r="F517" s="11">
        <f>IF(AND(D517&lt;&gt;"",E517&lt;&gt;""),((TIMEVALUE(E517)-TIMEVALUE(D517))*24*60),"")</f>
      </c>
      <c r="G517" s="11"/>
      <c r="H517" s="11"/>
      <c r="I517" s="11">
        <f>IF(G517="","Pending",IF(G517&gt;=J517,"Accepted",IF(G517&gt;=(J517-Configuration!$C$5),"Tolerance","Refusal")))</f>
      </c>
      <c r="J517" s="11">
        <f>IFERROR(VLOOKUP(B517,'Plot Plan'!$A:$D,4,FALSE),"")</f>
      </c>
      <c r="K517" s="11">
        <f>IFERROR(VLOOKUP(B517,'Plot Plan'!$A:$B,2,FALSE),"")</f>
      </c>
      <c r="L517" s="11">
        <f>IFERROR(VLOOKUP(B517,'Plot Plan'!$A:$C,3,FALSE),"")</f>
      </c>
    </row>
    <row r="518" spans="1:12" s="8" customFormat="1" x14ac:dyDescent="0.25">
      <c r="A518" s="12"/>
      <c r="B518" s="10"/>
      <c r="C518" s="10"/>
      <c r="D518" s="10"/>
      <c r="E518" s="10"/>
      <c r="F518" s="10">
        <f>IF(AND(D518&lt;&gt;"",E518&lt;&gt;""),((TIMEVALUE(E518)-TIMEVALUE(D518))*24*60),"")</f>
      </c>
      <c r="G518" s="10"/>
      <c r="H518" s="10"/>
      <c r="I518" s="10">
        <f>IF(G518="","Pending",IF(G518&gt;=J518,"Accepted",IF(G518&gt;=(J518-Configuration!$C$5),"Tolerance","Refusal")))</f>
      </c>
      <c r="J518" s="10">
        <f>IFERROR(VLOOKUP(B518,'Plot Plan'!$A:$D,4,FALSE),"")</f>
      </c>
      <c r="K518" s="10">
        <f>IFERROR(VLOOKUP(B518,'Plot Plan'!$A:$B,2,FALSE),"")</f>
      </c>
      <c r="L518" s="10">
        <f>IFERROR(VLOOKUP(B518,'Plot Plan'!$A:$C,3,FALSE),"")</f>
      </c>
    </row>
    <row r="519" spans="1:12" x14ac:dyDescent="0.25">
      <c r="A519" s="13"/>
      <c r="B519" s="11"/>
      <c r="C519" s="11"/>
      <c r="D519" s="11"/>
      <c r="E519" s="11"/>
      <c r="F519" s="11">
        <f>IF(AND(D519&lt;&gt;"",E519&lt;&gt;""),((TIMEVALUE(E519)-TIMEVALUE(D519))*24*60),"")</f>
      </c>
      <c r="G519" s="11"/>
      <c r="H519" s="11"/>
      <c r="I519" s="11">
        <f>IF(G519="","Pending",IF(G519&gt;=J519,"Accepted",IF(G519&gt;=(J519-Configuration!$C$5),"Tolerance","Refusal")))</f>
      </c>
      <c r="J519" s="11">
        <f>IFERROR(VLOOKUP(B519,'Plot Plan'!$A:$D,4,FALSE),"")</f>
      </c>
      <c r="K519" s="11">
        <f>IFERROR(VLOOKUP(B519,'Plot Plan'!$A:$B,2,FALSE),"")</f>
      </c>
      <c r="L519" s="11">
        <f>IFERROR(VLOOKUP(B519,'Plot Plan'!$A:$C,3,FALSE),"")</f>
      </c>
    </row>
    <row r="520" spans="1:12" s="8" customFormat="1" x14ac:dyDescent="0.25">
      <c r="A520" s="12"/>
      <c r="B520" s="10"/>
      <c r="C520" s="10"/>
      <c r="D520" s="10"/>
      <c r="E520" s="10"/>
      <c r="F520" s="10">
        <f>IF(AND(D520&lt;&gt;"",E520&lt;&gt;""),((TIMEVALUE(E520)-TIMEVALUE(D520))*24*60),"")</f>
      </c>
      <c r="G520" s="10"/>
      <c r="H520" s="10"/>
      <c r="I520" s="10">
        <f>IF(G520="","Pending",IF(G520&gt;=J520,"Accepted",IF(G520&gt;=(J520-Configuration!$C$5),"Tolerance","Refusal")))</f>
      </c>
      <c r="J520" s="10">
        <f>IFERROR(VLOOKUP(B520,'Plot Plan'!$A:$D,4,FALSE),"")</f>
      </c>
      <c r="K520" s="10">
        <f>IFERROR(VLOOKUP(B520,'Plot Plan'!$A:$B,2,FALSE),"")</f>
      </c>
      <c r="L520" s="10">
        <f>IFERROR(VLOOKUP(B520,'Plot Plan'!$A:$C,3,FALSE),"")</f>
      </c>
    </row>
    <row r="521" spans="1:12" x14ac:dyDescent="0.25">
      <c r="A521" s="13"/>
      <c r="B521" s="11"/>
      <c r="C521" s="11"/>
      <c r="D521" s="11"/>
      <c r="E521" s="11"/>
      <c r="F521" s="11">
        <f>IF(AND(D521&lt;&gt;"",E521&lt;&gt;""),((TIMEVALUE(E521)-TIMEVALUE(D521))*24*60),"")</f>
      </c>
      <c r="G521" s="11"/>
      <c r="H521" s="11"/>
      <c r="I521" s="11">
        <f>IF(G521="","Pending",IF(G521&gt;=J521,"Accepted",IF(G521&gt;=(J521-Configuration!$C$5),"Tolerance","Refusal")))</f>
      </c>
      <c r="J521" s="11">
        <f>IFERROR(VLOOKUP(B521,'Plot Plan'!$A:$D,4,FALSE),"")</f>
      </c>
      <c r="K521" s="11">
        <f>IFERROR(VLOOKUP(B521,'Plot Plan'!$A:$B,2,FALSE),"")</f>
      </c>
      <c r="L521" s="11">
        <f>IFERROR(VLOOKUP(B521,'Plot Plan'!$A:$C,3,FALSE),"")</f>
      </c>
    </row>
    <row r="522" spans="1:12" s="8" customFormat="1" x14ac:dyDescent="0.25">
      <c r="A522" s="12"/>
      <c r="B522" s="10"/>
      <c r="C522" s="10"/>
      <c r="D522" s="10"/>
      <c r="E522" s="10"/>
      <c r="F522" s="10">
        <f>IF(AND(D522&lt;&gt;"",E522&lt;&gt;""),((TIMEVALUE(E522)-TIMEVALUE(D522))*24*60),"")</f>
      </c>
      <c r="G522" s="10"/>
      <c r="H522" s="10"/>
      <c r="I522" s="10">
        <f>IF(G522="","Pending",IF(G522&gt;=J522,"Accepted",IF(G522&gt;=(J522-Configuration!$C$5),"Tolerance","Refusal")))</f>
      </c>
      <c r="J522" s="10">
        <f>IFERROR(VLOOKUP(B522,'Plot Plan'!$A:$D,4,FALSE),"")</f>
      </c>
      <c r="K522" s="10">
        <f>IFERROR(VLOOKUP(B522,'Plot Plan'!$A:$B,2,FALSE),"")</f>
      </c>
      <c r="L522" s="10">
        <f>IFERROR(VLOOKUP(B522,'Plot Plan'!$A:$C,3,FALSE),"")</f>
      </c>
    </row>
    <row r="523" spans="1:12" x14ac:dyDescent="0.25">
      <c r="A523" s="13"/>
      <c r="B523" s="11"/>
      <c r="C523" s="11"/>
      <c r="D523" s="11"/>
      <c r="E523" s="11"/>
      <c r="F523" s="11">
        <f>IF(AND(D523&lt;&gt;"",E523&lt;&gt;""),((TIMEVALUE(E523)-TIMEVALUE(D523))*24*60),"")</f>
      </c>
      <c r="G523" s="11"/>
      <c r="H523" s="11"/>
      <c r="I523" s="11">
        <f>IF(G523="","Pending",IF(G523&gt;=J523,"Accepted",IF(G523&gt;=(J523-Configuration!$C$5),"Tolerance","Refusal")))</f>
      </c>
      <c r="J523" s="11">
        <f>IFERROR(VLOOKUP(B523,'Plot Plan'!$A:$D,4,FALSE),"")</f>
      </c>
      <c r="K523" s="11">
        <f>IFERROR(VLOOKUP(B523,'Plot Plan'!$A:$B,2,FALSE),"")</f>
      </c>
      <c r="L523" s="11">
        <f>IFERROR(VLOOKUP(B523,'Plot Plan'!$A:$C,3,FALSE),"")</f>
      </c>
    </row>
    <row r="524" spans="1:12" s="8" customFormat="1" x14ac:dyDescent="0.25">
      <c r="A524" s="12"/>
      <c r="B524" s="10"/>
      <c r="C524" s="10"/>
      <c r="D524" s="10"/>
      <c r="E524" s="10"/>
      <c r="F524" s="10">
        <f>IF(AND(D524&lt;&gt;"",E524&lt;&gt;""),((TIMEVALUE(E524)-TIMEVALUE(D524))*24*60),"")</f>
      </c>
      <c r="G524" s="10"/>
      <c r="H524" s="10"/>
      <c r="I524" s="10">
        <f>IF(G524="","Pending",IF(G524&gt;=J524,"Accepted",IF(G524&gt;=(J524-Configuration!$C$5),"Tolerance","Refusal")))</f>
      </c>
      <c r="J524" s="10">
        <f>IFERROR(VLOOKUP(B524,'Plot Plan'!$A:$D,4,FALSE),"")</f>
      </c>
      <c r="K524" s="10">
        <f>IFERROR(VLOOKUP(B524,'Plot Plan'!$A:$B,2,FALSE),"")</f>
      </c>
      <c r="L524" s="10">
        <f>IFERROR(VLOOKUP(B524,'Plot Plan'!$A:$C,3,FALSE),"")</f>
      </c>
    </row>
    <row r="525" spans="1:12" x14ac:dyDescent="0.25">
      <c r="A525" s="13"/>
      <c r="B525" s="11"/>
      <c r="C525" s="11"/>
      <c r="D525" s="11"/>
      <c r="E525" s="11"/>
      <c r="F525" s="11">
        <f>IF(AND(D525&lt;&gt;"",E525&lt;&gt;""),((TIMEVALUE(E525)-TIMEVALUE(D525))*24*60),"")</f>
      </c>
      <c r="G525" s="11"/>
      <c r="H525" s="11"/>
      <c r="I525" s="11">
        <f>IF(G525="","Pending",IF(G525&gt;=J525,"Accepted",IF(G525&gt;=(J525-Configuration!$C$5),"Tolerance","Refusal")))</f>
      </c>
      <c r="J525" s="11">
        <f>IFERROR(VLOOKUP(B525,'Plot Plan'!$A:$D,4,FALSE),"")</f>
      </c>
      <c r="K525" s="11">
        <f>IFERROR(VLOOKUP(B525,'Plot Plan'!$A:$B,2,FALSE),"")</f>
      </c>
      <c r="L525" s="11">
        <f>IFERROR(VLOOKUP(B525,'Plot Plan'!$A:$C,3,FALSE),"")</f>
      </c>
    </row>
    <row r="526" spans="1:12" s="8" customFormat="1" x14ac:dyDescent="0.25">
      <c r="A526" s="12"/>
      <c r="B526" s="10"/>
      <c r="C526" s="10"/>
      <c r="D526" s="10"/>
      <c r="E526" s="10"/>
      <c r="F526" s="10">
        <f>IF(AND(D526&lt;&gt;"",E526&lt;&gt;""),((TIMEVALUE(E526)-TIMEVALUE(D526))*24*60),"")</f>
      </c>
      <c r="G526" s="10"/>
      <c r="H526" s="10"/>
      <c r="I526" s="10">
        <f>IF(G526="","Pending",IF(G526&gt;=J526,"Accepted",IF(G526&gt;=(J526-Configuration!$C$5),"Tolerance","Refusal")))</f>
      </c>
      <c r="J526" s="10">
        <f>IFERROR(VLOOKUP(B526,'Plot Plan'!$A:$D,4,FALSE),"")</f>
      </c>
      <c r="K526" s="10">
        <f>IFERROR(VLOOKUP(B526,'Plot Plan'!$A:$B,2,FALSE),"")</f>
      </c>
      <c r="L526" s="10">
        <f>IFERROR(VLOOKUP(B526,'Plot Plan'!$A:$C,3,FALSE),"")</f>
      </c>
    </row>
    <row r="527" spans="1:12" x14ac:dyDescent="0.25">
      <c r="A527" s="13"/>
      <c r="B527" s="11"/>
      <c r="C527" s="11"/>
      <c r="D527" s="11"/>
      <c r="E527" s="11"/>
      <c r="F527" s="11">
        <f>IF(AND(D527&lt;&gt;"",E527&lt;&gt;""),((TIMEVALUE(E527)-TIMEVALUE(D527))*24*60),"")</f>
      </c>
      <c r="G527" s="11"/>
      <c r="H527" s="11"/>
      <c r="I527" s="11">
        <f>IF(G527="","Pending",IF(G527&gt;=J527,"Accepted",IF(G527&gt;=(J527-Configuration!$C$5),"Tolerance","Refusal")))</f>
      </c>
      <c r="J527" s="11">
        <f>IFERROR(VLOOKUP(B527,'Plot Plan'!$A:$D,4,FALSE),"")</f>
      </c>
      <c r="K527" s="11">
        <f>IFERROR(VLOOKUP(B527,'Plot Plan'!$A:$B,2,FALSE),"")</f>
      </c>
      <c r="L527" s="11">
        <f>IFERROR(VLOOKUP(B527,'Plot Plan'!$A:$C,3,FALSE),"")</f>
      </c>
    </row>
    <row r="528" spans="1:12" s="8" customFormat="1" x14ac:dyDescent="0.25">
      <c r="A528" s="12"/>
      <c r="B528" s="10"/>
      <c r="C528" s="10"/>
      <c r="D528" s="10"/>
      <c r="E528" s="10"/>
      <c r="F528" s="10">
        <f>IF(AND(D528&lt;&gt;"",E528&lt;&gt;""),((TIMEVALUE(E528)-TIMEVALUE(D528))*24*60),"")</f>
      </c>
      <c r="G528" s="10"/>
      <c r="H528" s="10"/>
      <c r="I528" s="10">
        <f>IF(G528="","Pending",IF(G528&gt;=J528,"Accepted",IF(G528&gt;=(J528-Configuration!$C$5),"Tolerance","Refusal")))</f>
      </c>
      <c r="J528" s="10">
        <f>IFERROR(VLOOKUP(B528,'Plot Plan'!$A:$D,4,FALSE),"")</f>
      </c>
      <c r="K528" s="10">
        <f>IFERROR(VLOOKUP(B528,'Plot Plan'!$A:$B,2,FALSE),"")</f>
      </c>
      <c r="L528" s="10">
        <f>IFERROR(VLOOKUP(B528,'Plot Plan'!$A:$C,3,FALSE),"")</f>
      </c>
    </row>
    <row r="529" spans="1:12" x14ac:dyDescent="0.25">
      <c r="A529" s="13"/>
      <c r="B529" s="11"/>
      <c r="C529" s="11"/>
      <c r="D529" s="11"/>
      <c r="E529" s="11"/>
      <c r="F529" s="11">
        <f>IF(AND(D529&lt;&gt;"",E529&lt;&gt;""),((TIMEVALUE(E529)-TIMEVALUE(D529))*24*60),"")</f>
      </c>
      <c r="G529" s="11"/>
      <c r="H529" s="11"/>
      <c r="I529" s="11">
        <f>IF(G529="","Pending",IF(G529&gt;=J529,"Accepted",IF(G529&gt;=(J529-Configuration!$C$5),"Tolerance","Refusal")))</f>
      </c>
      <c r="J529" s="11">
        <f>IFERROR(VLOOKUP(B529,'Plot Plan'!$A:$D,4,FALSE),"")</f>
      </c>
      <c r="K529" s="11">
        <f>IFERROR(VLOOKUP(B529,'Plot Plan'!$A:$B,2,FALSE),"")</f>
      </c>
      <c r="L529" s="11">
        <f>IFERROR(VLOOKUP(B529,'Plot Plan'!$A:$C,3,FALSE),"")</f>
      </c>
    </row>
    <row r="530" spans="1:12" s="8" customFormat="1" x14ac:dyDescent="0.25">
      <c r="A530" s="12"/>
      <c r="B530" s="10"/>
      <c r="C530" s="10"/>
      <c r="D530" s="10"/>
      <c r="E530" s="10"/>
      <c r="F530" s="10">
        <f>IF(AND(D530&lt;&gt;"",E530&lt;&gt;""),((TIMEVALUE(E530)-TIMEVALUE(D530))*24*60),"")</f>
      </c>
      <c r="G530" s="10"/>
      <c r="H530" s="10"/>
      <c r="I530" s="10">
        <f>IF(G530="","Pending",IF(G530&gt;=J530,"Accepted",IF(G530&gt;=(J530-Configuration!$C$5),"Tolerance","Refusal")))</f>
      </c>
      <c r="J530" s="10">
        <f>IFERROR(VLOOKUP(B530,'Plot Plan'!$A:$D,4,FALSE),"")</f>
      </c>
      <c r="K530" s="10">
        <f>IFERROR(VLOOKUP(B530,'Plot Plan'!$A:$B,2,FALSE),"")</f>
      </c>
      <c r="L530" s="10">
        <f>IFERROR(VLOOKUP(B530,'Plot Plan'!$A:$C,3,FALSE),"")</f>
      </c>
    </row>
    <row r="531" spans="1:12" x14ac:dyDescent="0.25">
      <c r="A531" s="13"/>
      <c r="B531" s="11"/>
      <c r="C531" s="11"/>
      <c r="D531" s="11"/>
      <c r="E531" s="11"/>
      <c r="F531" s="11">
        <f>IF(AND(D531&lt;&gt;"",E531&lt;&gt;""),((TIMEVALUE(E531)-TIMEVALUE(D531))*24*60),"")</f>
      </c>
      <c r="G531" s="11"/>
      <c r="H531" s="11"/>
      <c r="I531" s="11">
        <f>IF(G531="","Pending",IF(G531&gt;=J531,"Accepted",IF(G531&gt;=(J531-Configuration!$C$5),"Tolerance","Refusal")))</f>
      </c>
      <c r="J531" s="11">
        <f>IFERROR(VLOOKUP(B531,'Plot Plan'!$A:$D,4,FALSE),"")</f>
      </c>
      <c r="K531" s="11">
        <f>IFERROR(VLOOKUP(B531,'Plot Plan'!$A:$B,2,FALSE),"")</f>
      </c>
      <c r="L531" s="11">
        <f>IFERROR(VLOOKUP(B531,'Plot Plan'!$A:$C,3,FALSE),"")</f>
      </c>
    </row>
    <row r="532" spans="1:12" s="8" customFormat="1" x14ac:dyDescent="0.25">
      <c r="A532" s="12"/>
      <c r="B532" s="10"/>
      <c r="C532" s="10"/>
      <c r="D532" s="10"/>
      <c r="E532" s="10"/>
      <c r="F532" s="10">
        <f>IF(AND(D532&lt;&gt;"",E532&lt;&gt;""),((TIMEVALUE(E532)-TIMEVALUE(D532))*24*60),"")</f>
      </c>
      <c r="G532" s="10"/>
      <c r="H532" s="10"/>
      <c r="I532" s="10">
        <f>IF(G532="","Pending",IF(G532&gt;=J532,"Accepted",IF(G532&gt;=(J532-Configuration!$C$5),"Tolerance","Refusal")))</f>
      </c>
      <c r="J532" s="10">
        <f>IFERROR(VLOOKUP(B532,'Plot Plan'!$A:$D,4,FALSE),"")</f>
      </c>
      <c r="K532" s="10">
        <f>IFERROR(VLOOKUP(B532,'Plot Plan'!$A:$B,2,FALSE),"")</f>
      </c>
      <c r="L532" s="10">
        <f>IFERROR(VLOOKUP(B532,'Plot Plan'!$A:$C,3,FALSE),"")</f>
      </c>
    </row>
    <row r="533" spans="1:12" x14ac:dyDescent="0.25">
      <c r="A533" s="13"/>
      <c r="B533" s="11"/>
      <c r="C533" s="11"/>
      <c r="D533" s="11"/>
      <c r="E533" s="11"/>
      <c r="F533" s="11">
        <f>IF(AND(D533&lt;&gt;"",E533&lt;&gt;""),((TIMEVALUE(E533)-TIMEVALUE(D533))*24*60),"")</f>
      </c>
      <c r="G533" s="11"/>
      <c r="H533" s="11"/>
      <c r="I533" s="11">
        <f>IF(G533="","Pending",IF(G533&gt;=J533,"Accepted",IF(G533&gt;=(J533-Configuration!$C$5),"Tolerance","Refusal")))</f>
      </c>
      <c r="J533" s="11">
        <f>IFERROR(VLOOKUP(B533,'Plot Plan'!$A:$D,4,FALSE),"")</f>
      </c>
      <c r="K533" s="11">
        <f>IFERROR(VLOOKUP(B533,'Plot Plan'!$A:$B,2,FALSE),"")</f>
      </c>
      <c r="L533" s="11">
        <f>IFERROR(VLOOKUP(B533,'Plot Plan'!$A:$C,3,FALSE),"")</f>
      </c>
    </row>
    <row r="534" spans="1:12" s="8" customFormat="1" x14ac:dyDescent="0.25">
      <c r="A534" s="12"/>
      <c r="B534" s="10"/>
      <c r="C534" s="10"/>
      <c r="D534" s="10"/>
      <c r="E534" s="10"/>
      <c r="F534" s="10">
        <f>IF(AND(D534&lt;&gt;"",E534&lt;&gt;""),((TIMEVALUE(E534)-TIMEVALUE(D534))*24*60),"")</f>
      </c>
      <c r="G534" s="10"/>
      <c r="H534" s="10"/>
      <c r="I534" s="10">
        <f>IF(G534="","Pending",IF(G534&gt;=J534,"Accepted",IF(G534&gt;=(J534-Configuration!$C$5),"Tolerance","Refusal")))</f>
      </c>
      <c r="J534" s="10">
        <f>IFERROR(VLOOKUP(B534,'Plot Plan'!$A:$D,4,FALSE),"")</f>
      </c>
      <c r="K534" s="10">
        <f>IFERROR(VLOOKUP(B534,'Plot Plan'!$A:$B,2,FALSE),"")</f>
      </c>
      <c r="L534" s="10">
        <f>IFERROR(VLOOKUP(B534,'Plot Plan'!$A:$C,3,FALSE),"")</f>
      </c>
    </row>
    <row r="535" spans="1:12" x14ac:dyDescent="0.25">
      <c r="A535" s="13"/>
      <c r="B535" s="11"/>
      <c r="C535" s="11"/>
      <c r="D535" s="11"/>
      <c r="E535" s="11"/>
      <c r="F535" s="11">
        <f>IF(AND(D535&lt;&gt;"",E535&lt;&gt;""),((TIMEVALUE(E535)-TIMEVALUE(D535))*24*60),"")</f>
      </c>
      <c r="G535" s="11"/>
      <c r="H535" s="11"/>
      <c r="I535" s="11">
        <f>IF(G535="","Pending",IF(G535&gt;=J535,"Accepted",IF(G535&gt;=(J535-Configuration!$C$5),"Tolerance","Refusal")))</f>
      </c>
      <c r="J535" s="11">
        <f>IFERROR(VLOOKUP(B535,'Plot Plan'!$A:$D,4,FALSE),"")</f>
      </c>
      <c r="K535" s="11">
        <f>IFERROR(VLOOKUP(B535,'Plot Plan'!$A:$B,2,FALSE),"")</f>
      </c>
      <c r="L535" s="11">
        <f>IFERROR(VLOOKUP(B535,'Plot Plan'!$A:$C,3,FALSE),"")</f>
      </c>
    </row>
    <row r="536" spans="1:12" s="8" customFormat="1" x14ac:dyDescent="0.25">
      <c r="A536" s="12"/>
      <c r="B536" s="10"/>
      <c r="C536" s="10"/>
      <c r="D536" s="10"/>
      <c r="E536" s="10"/>
      <c r="F536" s="10">
        <f>IF(AND(D536&lt;&gt;"",E536&lt;&gt;""),((TIMEVALUE(E536)-TIMEVALUE(D536))*24*60),"")</f>
      </c>
      <c r="G536" s="10"/>
      <c r="H536" s="10"/>
      <c r="I536" s="10">
        <f>IF(G536="","Pending",IF(G536&gt;=J536,"Accepted",IF(G536&gt;=(J536-Configuration!$C$5),"Tolerance","Refusal")))</f>
      </c>
      <c r="J536" s="10">
        <f>IFERROR(VLOOKUP(B536,'Plot Plan'!$A:$D,4,FALSE),"")</f>
      </c>
      <c r="K536" s="10">
        <f>IFERROR(VLOOKUP(B536,'Plot Plan'!$A:$B,2,FALSE),"")</f>
      </c>
      <c r="L536" s="10">
        <f>IFERROR(VLOOKUP(B536,'Plot Plan'!$A:$C,3,FALSE),"")</f>
      </c>
    </row>
    <row r="537" spans="1:12" x14ac:dyDescent="0.25">
      <c r="A537" s="13"/>
      <c r="B537" s="11"/>
      <c r="C537" s="11"/>
      <c r="D537" s="11"/>
      <c r="E537" s="11"/>
      <c r="F537" s="11">
        <f>IF(AND(D537&lt;&gt;"",E537&lt;&gt;""),((TIMEVALUE(E537)-TIMEVALUE(D537))*24*60),"")</f>
      </c>
      <c r="G537" s="11"/>
      <c r="H537" s="11"/>
      <c r="I537" s="11">
        <f>IF(G537="","Pending",IF(G537&gt;=J537,"Accepted",IF(G537&gt;=(J537-Configuration!$C$5),"Tolerance","Refusal")))</f>
      </c>
      <c r="J537" s="11">
        <f>IFERROR(VLOOKUP(B537,'Plot Plan'!$A:$D,4,FALSE),"")</f>
      </c>
      <c r="K537" s="11">
        <f>IFERROR(VLOOKUP(B537,'Plot Plan'!$A:$B,2,FALSE),"")</f>
      </c>
      <c r="L537" s="11">
        <f>IFERROR(VLOOKUP(B537,'Plot Plan'!$A:$C,3,FALSE),"")</f>
      </c>
    </row>
    <row r="538" spans="1:12" s="8" customFormat="1" x14ac:dyDescent="0.25">
      <c r="A538" s="12"/>
      <c r="B538" s="10"/>
      <c r="C538" s="10"/>
      <c r="D538" s="10"/>
      <c r="E538" s="10"/>
      <c r="F538" s="10">
        <f>IF(AND(D538&lt;&gt;"",E538&lt;&gt;""),((TIMEVALUE(E538)-TIMEVALUE(D538))*24*60),"")</f>
      </c>
      <c r="G538" s="10"/>
      <c r="H538" s="10"/>
      <c r="I538" s="10">
        <f>IF(G538="","Pending",IF(G538&gt;=J538,"Accepted",IF(G538&gt;=(J538-Configuration!$C$5),"Tolerance","Refusal")))</f>
      </c>
      <c r="J538" s="10">
        <f>IFERROR(VLOOKUP(B538,'Plot Plan'!$A:$D,4,FALSE),"")</f>
      </c>
      <c r="K538" s="10">
        <f>IFERROR(VLOOKUP(B538,'Plot Plan'!$A:$B,2,FALSE),"")</f>
      </c>
      <c r="L538" s="10">
        <f>IFERROR(VLOOKUP(B538,'Plot Plan'!$A:$C,3,FALSE),"")</f>
      </c>
    </row>
    <row r="539" spans="1:12" x14ac:dyDescent="0.25">
      <c r="A539" s="13"/>
      <c r="B539" s="11"/>
      <c r="C539" s="11"/>
      <c r="D539" s="11"/>
      <c r="E539" s="11"/>
      <c r="F539" s="11">
        <f>IF(AND(D539&lt;&gt;"",E539&lt;&gt;""),((TIMEVALUE(E539)-TIMEVALUE(D539))*24*60),"")</f>
      </c>
      <c r="G539" s="11"/>
      <c r="H539" s="11"/>
      <c r="I539" s="11">
        <f>IF(G539="","Pending",IF(G539&gt;=J539,"Accepted",IF(G539&gt;=(J539-Configuration!$C$5),"Tolerance","Refusal")))</f>
      </c>
      <c r="J539" s="11">
        <f>IFERROR(VLOOKUP(B539,'Plot Plan'!$A:$D,4,FALSE),"")</f>
      </c>
      <c r="K539" s="11">
        <f>IFERROR(VLOOKUP(B539,'Plot Plan'!$A:$B,2,FALSE),"")</f>
      </c>
      <c r="L539" s="11">
        <f>IFERROR(VLOOKUP(B539,'Plot Plan'!$A:$C,3,FALSE),"")</f>
      </c>
    </row>
    <row r="540" spans="1:12" s="8" customFormat="1" x14ac:dyDescent="0.25">
      <c r="A540" s="12"/>
      <c r="B540" s="10"/>
      <c r="C540" s="10"/>
      <c r="D540" s="10"/>
      <c r="E540" s="10"/>
      <c r="F540" s="10">
        <f>IF(AND(D540&lt;&gt;"",E540&lt;&gt;""),((TIMEVALUE(E540)-TIMEVALUE(D540))*24*60),"")</f>
      </c>
      <c r="G540" s="10"/>
      <c r="H540" s="10"/>
      <c r="I540" s="10">
        <f>IF(G540="","Pending",IF(G540&gt;=J540,"Accepted",IF(G540&gt;=(J540-Configuration!$C$5),"Tolerance","Refusal")))</f>
      </c>
      <c r="J540" s="10">
        <f>IFERROR(VLOOKUP(B540,'Plot Plan'!$A:$D,4,FALSE),"")</f>
      </c>
      <c r="K540" s="10">
        <f>IFERROR(VLOOKUP(B540,'Plot Plan'!$A:$B,2,FALSE),"")</f>
      </c>
      <c r="L540" s="10">
        <f>IFERROR(VLOOKUP(B540,'Plot Plan'!$A:$C,3,FALSE),"")</f>
      </c>
    </row>
    <row r="541" spans="1:12" x14ac:dyDescent="0.25">
      <c r="A541" s="13"/>
      <c r="B541" s="11"/>
      <c r="C541" s="11"/>
      <c r="D541" s="11"/>
      <c r="E541" s="11"/>
      <c r="F541" s="11">
        <f>IF(AND(D541&lt;&gt;"",E541&lt;&gt;""),((TIMEVALUE(E541)-TIMEVALUE(D541))*24*60),"")</f>
      </c>
      <c r="G541" s="11"/>
      <c r="H541" s="11"/>
      <c r="I541" s="11">
        <f>IF(G541="","Pending",IF(G541&gt;=J541,"Accepted",IF(G541&gt;=(J541-Configuration!$C$5),"Tolerance","Refusal")))</f>
      </c>
      <c r="J541" s="11">
        <f>IFERROR(VLOOKUP(B541,'Plot Plan'!$A:$D,4,FALSE),"")</f>
      </c>
      <c r="K541" s="11">
        <f>IFERROR(VLOOKUP(B541,'Plot Plan'!$A:$B,2,FALSE),"")</f>
      </c>
      <c r="L541" s="11">
        <f>IFERROR(VLOOKUP(B541,'Plot Plan'!$A:$C,3,FALSE),"")</f>
      </c>
    </row>
    <row r="542" spans="1:12" s="8" customFormat="1" x14ac:dyDescent="0.25">
      <c r="A542" s="12"/>
      <c r="B542" s="10"/>
      <c r="C542" s="10"/>
      <c r="D542" s="10"/>
      <c r="E542" s="10"/>
      <c r="F542" s="10">
        <f>IF(AND(D542&lt;&gt;"",E542&lt;&gt;""),((TIMEVALUE(E542)-TIMEVALUE(D542))*24*60),"")</f>
      </c>
      <c r="G542" s="10"/>
      <c r="H542" s="10"/>
      <c r="I542" s="10">
        <f>IF(G542="","Pending",IF(G542&gt;=J542,"Accepted",IF(G542&gt;=(J542-Configuration!$C$5),"Tolerance","Refusal")))</f>
      </c>
      <c r="J542" s="10">
        <f>IFERROR(VLOOKUP(B542,'Plot Plan'!$A:$D,4,FALSE),"")</f>
      </c>
      <c r="K542" s="10">
        <f>IFERROR(VLOOKUP(B542,'Plot Plan'!$A:$B,2,FALSE),"")</f>
      </c>
      <c r="L542" s="10">
        <f>IFERROR(VLOOKUP(B542,'Plot Plan'!$A:$C,3,FALSE),"")</f>
      </c>
    </row>
    <row r="543" spans="1:12" x14ac:dyDescent="0.25">
      <c r="A543" s="13"/>
      <c r="B543" s="11"/>
      <c r="C543" s="11"/>
      <c r="D543" s="11"/>
      <c r="E543" s="11"/>
      <c r="F543" s="11">
        <f>IF(AND(D543&lt;&gt;"",E543&lt;&gt;""),((TIMEVALUE(E543)-TIMEVALUE(D543))*24*60),"")</f>
      </c>
      <c r="G543" s="11"/>
      <c r="H543" s="11"/>
      <c r="I543" s="11">
        <f>IF(G543="","Pending",IF(G543&gt;=J543,"Accepted",IF(G543&gt;=(J543-Configuration!$C$5),"Tolerance","Refusal")))</f>
      </c>
      <c r="J543" s="11">
        <f>IFERROR(VLOOKUP(B543,'Plot Plan'!$A:$D,4,FALSE),"")</f>
      </c>
      <c r="K543" s="11">
        <f>IFERROR(VLOOKUP(B543,'Plot Plan'!$A:$B,2,FALSE),"")</f>
      </c>
      <c r="L543" s="11">
        <f>IFERROR(VLOOKUP(B543,'Plot Plan'!$A:$C,3,FALSE),"")</f>
      </c>
    </row>
    <row r="544" spans="1:12" s="8" customFormat="1" x14ac:dyDescent="0.25">
      <c r="A544" s="12"/>
      <c r="B544" s="10"/>
      <c r="C544" s="10"/>
      <c r="D544" s="10"/>
      <c r="E544" s="10"/>
      <c r="F544" s="10">
        <f>IF(AND(D544&lt;&gt;"",E544&lt;&gt;""),((TIMEVALUE(E544)-TIMEVALUE(D544))*24*60),"")</f>
      </c>
      <c r="G544" s="10"/>
      <c r="H544" s="10"/>
      <c r="I544" s="10">
        <f>IF(G544="","Pending",IF(G544&gt;=J544,"Accepted",IF(G544&gt;=(J544-Configuration!$C$5),"Tolerance","Refusal")))</f>
      </c>
      <c r="J544" s="10">
        <f>IFERROR(VLOOKUP(B544,'Plot Plan'!$A:$D,4,FALSE),"")</f>
      </c>
      <c r="K544" s="10">
        <f>IFERROR(VLOOKUP(B544,'Plot Plan'!$A:$B,2,FALSE),"")</f>
      </c>
      <c r="L544" s="10">
        <f>IFERROR(VLOOKUP(B544,'Plot Plan'!$A:$C,3,FALSE),"")</f>
      </c>
    </row>
    <row r="545" spans="1:12" x14ac:dyDescent="0.25">
      <c r="A545" s="13"/>
      <c r="B545" s="11"/>
      <c r="C545" s="11"/>
      <c r="D545" s="11"/>
      <c r="E545" s="11"/>
      <c r="F545" s="11">
        <f>IF(AND(D545&lt;&gt;"",E545&lt;&gt;""),((TIMEVALUE(E545)-TIMEVALUE(D545))*24*60),"")</f>
      </c>
      <c r="G545" s="11"/>
      <c r="H545" s="11"/>
      <c r="I545" s="11">
        <f>IF(G545="","Pending",IF(G545&gt;=J545,"Accepted",IF(G545&gt;=(J545-Configuration!$C$5),"Tolerance","Refusal")))</f>
      </c>
      <c r="J545" s="11">
        <f>IFERROR(VLOOKUP(B545,'Plot Plan'!$A:$D,4,FALSE),"")</f>
      </c>
      <c r="K545" s="11">
        <f>IFERROR(VLOOKUP(B545,'Plot Plan'!$A:$B,2,FALSE),"")</f>
      </c>
      <c r="L545" s="11">
        <f>IFERROR(VLOOKUP(B545,'Plot Plan'!$A:$C,3,FALSE),"")</f>
      </c>
    </row>
    <row r="546" spans="1:12" s="8" customFormat="1" x14ac:dyDescent="0.25">
      <c r="A546" s="12"/>
      <c r="B546" s="10"/>
      <c r="C546" s="10"/>
      <c r="D546" s="10"/>
      <c r="E546" s="10"/>
      <c r="F546" s="10">
        <f>IF(AND(D546&lt;&gt;"",E546&lt;&gt;""),((TIMEVALUE(E546)-TIMEVALUE(D546))*24*60),"")</f>
      </c>
      <c r="G546" s="10"/>
      <c r="H546" s="10"/>
      <c r="I546" s="10">
        <f>IF(G546="","Pending",IF(G546&gt;=J546,"Accepted",IF(G546&gt;=(J546-Configuration!$C$5),"Tolerance","Refusal")))</f>
      </c>
      <c r="J546" s="10">
        <f>IFERROR(VLOOKUP(B546,'Plot Plan'!$A:$D,4,FALSE),"")</f>
      </c>
      <c r="K546" s="10">
        <f>IFERROR(VLOOKUP(B546,'Plot Plan'!$A:$B,2,FALSE),"")</f>
      </c>
      <c r="L546" s="10">
        <f>IFERROR(VLOOKUP(B546,'Plot Plan'!$A:$C,3,FALSE),"")</f>
      </c>
    </row>
    <row r="547" spans="1:12" x14ac:dyDescent="0.25">
      <c r="A547" s="13"/>
      <c r="B547" s="11"/>
      <c r="C547" s="11"/>
      <c r="D547" s="11"/>
      <c r="E547" s="11"/>
      <c r="F547" s="11">
        <f>IF(AND(D547&lt;&gt;"",E547&lt;&gt;""),((TIMEVALUE(E547)-TIMEVALUE(D547))*24*60),"")</f>
      </c>
      <c r="G547" s="11"/>
      <c r="H547" s="11"/>
      <c r="I547" s="11">
        <f>IF(G547="","Pending",IF(G547&gt;=J547,"Accepted",IF(G547&gt;=(J547-Configuration!$C$5),"Tolerance","Refusal")))</f>
      </c>
      <c r="J547" s="11">
        <f>IFERROR(VLOOKUP(B547,'Plot Plan'!$A:$D,4,FALSE),"")</f>
      </c>
      <c r="K547" s="11">
        <f>IFERROR(VLOOKUP(B547,'Plot Plan'!$A:$B,2,FALSE),"")</f>
      </c>
      <c r="L547" s="11">
        <f>IFERROR(VLOOKUP(B547,'Plot Plan'!$A:$C,3,FALSE),"")</f>
      </c>
    </row>
    <row r="548" spans="1:12" s="8" customFormat="1" x14ac:dyDescent="0.25">
      <c r="A548" s="12"/>
      <c r="B548" s="10"/>
      <c r="C548" s="10"/>
      <c r="D548" s="10"/>
      <c r="E548" s="10"/>
      <c r="F548" s="10">
        <f>IF(AND(D548&lt;&gt;"",E548&lt;&gt;""),((TIMEVALUE(E548)-TIMEVALUE(D548))*24*60),"")</f>
      </c>
      <c r="G548" s="10"/>
      <c r="H548" s="10"/>
      <c r="I548" s="10">
        <f>IF(G548="","Pending",IF(G548&gt;=J548,"Accepted",IF(G548&gt;=(J548-Configuration!$C$5),"Tolerance","Refusal")))</f>
      </c>
      <c r="J548" s="10">
        <f>IFERROR(VLOOKUP(B548,'Plot Plan'!$A:$D,4,FALSE),"")</f>
      </c>
      <c r="K548" s="10">
        <f>IFERROR(VLOOKUP(B548,'Plot Plan'!$A:$B,2,FALSE),"")</f>
      </c>
      <c r="L548" s="10">
        <f>IFERROR(VLOOKUP(B548,'Plot Plan'!$A:$C,3,FALSE),"")</f>
      </c>
    </row>
    <row r="549" spans="1:12" x14ac:dyDescent="0.25">
      <c r="A549" s="13"/>
      <c r="B549" s="11"/>
      <c r="C549" s="11"/>
      <c r="D549" s="11"/>
      <c r="E549" s="11"/>
      <c r="F549" s="11">
        <f>IF(AND(D549&lt;&gt;"",E549&lt;&gt;""),((TIMEVALUE(E549)-TIMEVALUE(D549))*24*60),"")</f>
      </c>
      <c r="G549" s="11"/>
      <c r="H549" s="11"/>
      <c r="I549" s="11">
        <f>IF(G549="","Pending",IF(G549&gt;=J549,"Accepted",IF(G549&gt;=(J549-Configuration!$C$5),"Tolerance","Refusal")))</f>
      </c>
      <c r="J549" s="11">
        <f>IFERROR(VLOOKUP(B549,'Plot Plan'!$A:$D,4,FALSE),"")</f>
      </c>
      <c r="K549" s="11">
        <f>IFERROR(VLOOKUP(B549,'Plot Plan'!$A:$B,2,FALSE),"")</f>
      </c>
      <c r="L549" s="11">
        <f>IFERROR(VLOOKUP(B549,'Plot Plan'!$A:$C,3,FALSE),"")</f>
      </c>
    </row>
    <row r="550" spans="1:12" s="8" customFormat="1" x14ac:dyDescent="0.25">
      <c r="A550" s="12"/>
      <c r="B550" s="10"/>
      <c r="C550" s="10"/>
      <c r="D550" s="10"/>
      <c r="E550" s="10"/>
      <c r="F550" s="10">
        <f>IF(AND(D550&lt;&gt;"",E550&lt;&gt;""),((TIMEVALUE(E550)-TIMEVALUE(D550))*24*60),"")</f>
      </c>
      <c r="G550" s="10"/>
      <c r="H550" s="10"/>
      <c r="I550" s="10">
        <f>IF(G550="","Pending",IF(G550&gt;=J550,"Accepted",IF(G550&gt;=(J550-Configuration!$C$5),"Tolerance","Refusal")))</f>
      </c>
      <c r="J550" s="10">
        <f>IFERROR(VLOOKUP(B550,'Plot Plan'!$A:$D,4,FALSE),"")</f>
      </c>
      <c r="K550" s="10">
        <f>IFERROR(VLOOKUP(B550,'Plot Plan'!$A:$B,2,FALSE),"")</f>
      </c>
      <c r="L550" s="10">
        <f>IFERROR(VLOOKUP(B550,'Plot Plan'!$A:$C,3,FALSE),"")</f>
      </c>
    </row>
    <row r="551" spans="1:12" x14ac:dyDescent="0.25">
      <c r="A551" s="13"/>
      <c r="B551" s="11"/>
      <c r="C551" s="11"/>
      <c r="D551" s="11"/>
      <c r="E551" s="11"/>
      <c r="F551" s="11">
        <f>IF(AND(D551&lt;&gt;"",E551&lt;&gt;""),((TIMEVALUE(E551)-TIMEVALUE(D551))*24*60),"")</f>
      </c>
      <c r="G551" s="11"/>
      <c r="H551" s="11"/>
      <c r="I551" s="11">
        <f>IF(G551="","Pending",IF(G551&gt;=J551,"Accepted",IF(G551&gt;=(J551-Configuration!$C$5),"Tolerance","Refusal")))</f>
      </c>
      <c r="J551" s="11">
        <f>IFERROR(VLOOKUP(B551,'Plot Plan'!$A:$D,4,FALSE),"")</f>
      </c>
      <c r="K551" s="11">
        <f>IFERROR(VLOOKUP(B551,'Plot Plan'!$A:$B,2,FALSE),"")</f>
      </c>
      <c r="L551" s="11">
        <f>IFERROR(VLOOKUP(B551,'Plot Plan'!$A:$C,3,FALSE),"")</f>
      </c>
    </row>
    <row r="552" spans="1:12" s="8" customFormat="1" x14ac:dyDescent="0.25">
      <c r="A552" s="12"/>
      <c r="B552" s="10"/>
      <c r="C552" s="10"/>
      <c r="D552" s="10"/>
      <c r="E552" s="10"/>
      <c r="F552" s="10">
        <f>IF(AND(D552&lt;&gt;"",E552&lt;&gt;""),((TIMEVALUE(E552)-TIMEVALUE(D552))*24*60),"")</f>
      </c>
      <c r="G552" s="10"/>
      <c r="H552" s="10"/>
      <c r="I552" s="10">
        <f>IF(G552="","Pending",IF(G552&gt;=J552,"Accepted",IF(G552&gt;=(J552-Configuration!$C$5),"Tolerance","Refusal")))</f>
      </c>
      <c r="J552" s="10">
        <f>IFERROR(VLOOKUP(B552,'Plot Plan'!$A:$D,4,FALSE),"")</f>
      </c>
      <c r="K552" s="10">
        <f>IFERROR(VLOOKUP(B552,'Plot Plan'!$A:$B,2,FALSE),"")</f>
      </c>
      <c r="L552" s="10">
        <f>IFERROR(VLOOKUP(B552,'Plot Plan'!$A:$C,3,FALSE),"")</f>
      </c>
    </row>
    <row r="553" spans="1:12" x14ac:dyDescent="0.25">
      <c r="A553" s="13"/>
      <c r="B553" s="11"/>
      <c r="C553" s="11"/>
      <c r="D553" s="11"/>
      <c r="E553" s="11"/>
      <c r="F553" s="11">
        <f>IF(AND(D553&lt;&gt;"",E553&lt;&gt;""),((TIMEVALUE(E553)-TIMEVALUE(D553))*24*60),"")</f>
      </c>
      <c r="G553" s="11"/>
      <c r="H553" s="11"/>
      <c r="I553" s="11">
        <f>IF(G553="","Pending",IF(G553&gt;=J553,"Accepted",IF(G553&gt;=(J553-Configuration!$C$5),"Tolerance","Refusal")))</f>
      </c>
      <c r="J553" s="11">
        <f>IFERROR(VLOOKUP(B553,'Plot Plan'!$A:$D,4,FALSE),"")</f>
      </c>
      <c r="K553" s="11">
        <f>IFERROR(VLOOKUP(B553,'Plot Plan'!$A:$B,2,FALSE),"")</f>
      </c>
      <c r="L553" s="11">
        <f>IFERROR(VLOOKUP(B553,'Plot Plan'!$A:$C,3,FALSE),"")</f>
      </c>
    </row>
    <row r="554" spans="1:12" s="8" customFormat="1" x14ac:dyDescent="0.25">
      <c r="A554" s="12"/>
      <c r="B554" s="10"/>
      <c r="C554" s="10"/>
      <c r="D554" s="10"/>
      <c r="E554" s="10"/>
      <c r="F554" s="10">
        <f>IF(AND(D554&lt;&gt;"",E554&lt;&gt;""),((TIMEVALUE(E554)-TIMEVALUE(D554))*24*60),"")</f>
      </c>
      <c r="G554" s="10"/>
      <c r="H554" s="10"/>
      <c r="I554" s="10">
        <f>IF(G554="","Pending",IF(G554&gt;=J554,"Accepted",IF(G554&gt;=(J554-Configuration!$C$5),"Tolerance","Refusal")))</f>
      </c>
      <c r="J554" s="10">
        <f>IFERROR(VLOOKUP(B554,'Plot Plan'!$A:$D,4,FALSE),"")</f>
      </c>
      <c r="K554" s="10">
        <f>IFERROR(VLOOKUP(B554,'Plot Plan'!$A:$B,2,FALSE),"")</f>
      </c>
      <c r="L554" s="10">
        <f>IFERROR(VLOOKUP(B554,'Plot Plan'!$A:$C,3,FALSE),"")</f>
      </c>
    </row>
    <row r="555" spans="1:12" x14ac:dyDescent="0.25">
      <c r="A555" s="13"/>
      <c r="B555" s="11"/>
      <c r="C555" s="11"/>
      <c r="D555" s="11"/>
      <c r="E555" s="11"/>
      <c r="F555" s="11">
        <f>IF(AND(D555&lt;&gt;"",E555&lt;&gt;""),((TIMEVALUE(E555)-TIMEVALUE(D555))*24*60),"")</f>
      </c>
      <c r="G555" s="11"/>
      <c r="H555" s="11"/>
      <c r="I555" s="11">
        <f>IF(G555="","Pending",IF(G555&gt;=J555,"Accepted",IF(G555&gt;=(J555-Configuration!$C$5),"Tolerance","Refusal")))</f>
      </c>
      <c r="J555" s="11">
        <f>IFERROR(VLOOKUP(B555,'Plot Plan'!$A:$D,4,FALSE),"")</f>
      </c>
      <c r="K555" s="11">
        <f>IFERROR(VLOOKUP(B555,'Plot Plan'!$A:$B,2,FALSE),"")</f>
      </c>
      <c r="L555" s="11">
        <f>IFERROR(VLOOKUP(B555,'Plot Plan'!$A:$C,3,FALSE),"")</f>
      </c>
    </row>
    <row r="556" spans="1:12" s="8" customFormat="1" x14ac:dyDescent="0.25">
      <c r="A556" s="12"/>
      <c r="B556" s="10"/>
      <c r="C556" s="10"/>
      <c r="D556" s="10"/>
      <c r="E556" s="10"/>
      <c r="F556" s="10">
        <f>IF(AND(D556&lt;&gt;"",E556&lt;&gt;""),((TIMEVALUE(E556)-TIMEVALUE(D556))*24*60),"")</f>
      </c>
      <c r="G556" s="10"/>
      <c r="H556" s="10"/>
      <c r="I556" s="10">
        <f>IF(G556="","Pending",IF(G556&gt;=J556,"Accepted",IF(G556&gt;=(J556-Configuration!$C$5),"Tolerance","Refusal")))</f>
      </c>
      <c r="J556" s="10">
        <f>IFERROR(VLOOKUP(B556,'Plot Plan'!$A:$D,4,FALSE),"")</f>
      </c>
      <c r="K556" s="10">
        <f>IFERROR(VLOOKUP(B556,'Plot Plan'!$A:$B,2,FALSE),"")</f>
      </c>
      <c r="L556" s="10">
        <f>IFERROR(VLOOKUP(B556,'Plot Plan'!$A:$C,3,FALSE),"")</f>
      </c>
    </row>
    <row r="557" spans="1:12" x14ac:dyDescent="0.25">
      <c r="A557" s="13"/>
      <c r="B557" s="11"/>
      <c r="C557" s="11"/>
      <c r="D557" s="11"/>
      <c r="E557" s="11"/>
      <c r="F557" s="11">
        <f>IF(AND(D557&lt;&gt;"",E557&lt;&gt;""),((TIMEVALUE(E557)-TIMEVALUE(D557))*24*60),"")</f>
      </c>
      <c r="G557" s="11"/>
      <c r="H557" s="11"/>
      <c r="I557" s="11">
        <f>IF(G557="","Pending",IF(G557&gt;=J557,"Accepted",IF(G557&gt;=(J557-Configuration!$C$5),"Tolerance","Refusal")))</f>
      </c>
      <c r="J557" s="11">
        <f>IFERROR(VLOOKUP(B557,'Plot Plan'!$A:$D,4,FALSE),"")</f>
      </c>
      <c r="K557" s="11">
        <f>IFERROR(VLOOKUP(B557,'Plot Plan'!$A:$B,2,FALSE),"")</f>
      </c>
      <c r="L557" s="11">
        <f>IFERROR(VLOOKUP(B557,'Plot Plan'!$A:$C,3,FALSE),"")</f>
      </c>
    </row>
    <row r="558" spans="1:12" s="8" customFormat="1" x14ac:dyDescent="0.25">
      <c r="A558" s="12"/>
      <c r="B558" s="10"/>
      <c r="C558" s="10"/>
      <c r="D558" s="10"/>
      <c r="E558" s="10"/>
      <c r="F558" s="10">
        <f>IF(AND(D558&lt;&gt;"",E558&lt;&gt;""),((TIMEVALUE(E558)-TIMEVALUE(D558))*24*60),"")</f>
      </c>
      <c r="G558" s="10"/>
      <c r="H558" s="10"/>
      <c r="I558" s="10">
        <f>IF(G558="","Pending",IF(G558&gt;=J558,"Accepted",IF(G558&gt;=(J558-Configuration!$C$5),"Tolerance","Refusal")))</f>
      </c>
      <c r="J558" s="10">
        <f>IFERROR(VLOOKUP(B558,'Plot Plan'!$A:$D,4,FALSE),"")</f>
      </c>
      <c r="K558" s="10">
        <f>IFERROR(VLOOKUP(B558,'Plot Plan'!$A:$B,2,FALSE),"")</f>
      </c>
      <c r="L558" s="10">
        <f>IFERROR(VLOOKUP(B558,'Plot Plan'!$A:$C,3,FALSE),"")</f>
      </c>
    </row>
    <row r="559" spans="1:12" x14ac:dyDescent="0.25">
      <c r="A559" s="13"/>
      <c r="B559" s="11"/>
      <c r="C559" s="11"/>
      <c r="D559" s="11"/>
      <c r="E559" s="11"/>
      <c r="F559" s="11">
        <f>IF(AND(D559&lt;&gt;"",E559&lt;&gt;""),((TIMEVALUE(E559)-TIMEVALUE(D559))*24*60),"")</f>
      </c>
      <c r="G559" s="11"/>
      <c r="H559" s="11"/>
      <c r="I559" s="11">
        <f>IF(G559="","Pending",IF(G559&gt;=J559,"Accepted",IF(G559&gt;=(J559-Configuration!$C$5),"Tolerance","Refusal")))</f>
      </c>
      <c r="J559" s="11">
        <f>IFERROR(VLOOKUP(B559,'Plot Plan'!$A:$D,4,FALSE),"")</f>
      </c>
      <c r="K559" s="11">
        <f>IFERROR(VLOOKUP(B559,'Plot Plan'!$A:$B,2,FALSE),"")</f>
      </c>
      <c r="L559" s="11">
        <f>IFERROR(VLOOKUP(B559,'Plot Plan'!$A:$C,3,FALSE),"")</f>
      </c>
    </row>
    <row r="560" spans="1:12" s="8" customFormat="1" x14ac:dyDescent="0.25">
      <c r="A560" s="12"/>
      <c r="B560" s="10"/>
      <c r="C560" s="10"/>
      <c r="D560" s="10"/>
      <c r="E560" s="10"/>
      <c r="F560" s="10">
        <f>IF(AND(D560&lt;&gt;"",E560&lt;&gt;""),((TIMEVALUE(E560)-TIMEVALUE(D560))*24*60),"")</f>
      </c>
      <c r="G560" s="10"/>
      <c r="H560" s="10"/>
      <c r="I560" s="10">
        <f>IF(G560="","Pending",IF(G560&gt;=J560,"Accepted",IF(G560&gt;=(J560-Configuration!$C$5),"Tolerance","Refusal")))</f>
      </c>
      <c r="J560" s="10">
        <f>IFERROR(VLOOKUP(B560,'Plot Plan'!$A:$D,4,FALSE),"")</f>
      </c>
      <c r="K560" s="10">
        <f>IFERROR(VLOOKUP(B560,'Plot Plan'!$A:$B,2,FALSE),"")</f>
      </c>
      <c r="L560" s="10">
        <f>IFERROR(VLOOKUP(B560,'Plot Plan'!$A:$C,3,FALSE),"")</f>
      </c>
    </row>
    <row r="561" spans="1:12" x14ac:dyDescent="0.25">
      <c r="A561" s="13"/>
      <c r="B561" s="11"/>
      <c r="C561" s="11"/>
      <c r="D561" s="11"/>
      <c r="E561" s="11"/>
      <c r="F561" s="11">
        <f>IF(AND(D561&lt;&gt;"",E561&lt;&gt;""),((TIMEVALUE(E561)-TIMEVALUE(D561))*24*60),"")</f>
      </c>
      <c r="G561" s="11"/>
      <c r="H561" s="11"/>
      <c r="I561" s="11">
        <f>IF(G561="","Pending",IF(G561&gt;=J561,"Accepted",IF(G561&gt;=(J561-Configuration!$C$5),"Tolerance","Refusal")))</f>
      </c>
      <c r="J561" s="11">
        <f>IFERROR(VLOOKUP(B561,'Plot Plan'!$A:$D,4,FALSE),"")</f>
      </c>
      <c r="K561" s="11">
        <f>IFERROR(VLOOKUP(B561,'Plot Plan'!$A:$B,2,FALSE),"")</f>
      </c>
      <c r="L561" s="11">
        <f>IFERROR(VLOOKUP(B561,'Plot Plan'!$A:$C,3,FALSE),"")</f>
      </c>
    </row>
    <row r="562" spans="1:12" s="8" customFormat="1" x14ac:dyDescent="0.25">
      <c r="A562" s="12"/>
      <c r="B562" s="10"/>
      <c r="C562" s="10"/>
      <c r="D562" s="10"/>
      <c r="E562" s="10"/>
      <c r="F562" s="10">
        <f>IF(AND(D562&lt;&gt;"",E562&lt;&gt;""),((TIMEVALUE(E562)-TIMEVALUE(D562))*24*60),"")</f>
      </c>
      <c r="G562" s="10"/>
      <c r="H562" s="10"/>
      <c r="I562" s="10">
        <f>IF(G562="","Pending",IF(G562&gt;=J562,"Accepted",IF(G562&gt;=(J562-Configuration!$C$5),"Tolerance","Refusal")))</f>
      </c>
      <c r="J562" s="10">
        <f>IFERROR(VLOOKUP(B562,'Plot Plan'!$A:$D,4,FALSE),"")</f>
      </c>
      <c r="K562" s="10">
        <f>IFERROR(VLOOKUP(B562,'Plot Plan'!$A:$B,2,FALSE),"")</f>
      </c>
      <c r="L562" s="10">
        <f>IFERROR(VLOOKUP(B562,'Plot Plan'!$A:$C,3,FALSE),"")</f>
      </c>
    </row>
    <row r="563" spans="1:12" x14ac:dyDescent="0.25">
      <c r="A563" s="13"/>
      <c r="B563" s="11"/>
      <c r="C563" s="11"/>
      <c r="D563" s="11"/>
      <c r="E563" s="11"/>
      <c r="F563" s="11">
        <f>IF(AND(D563&lt;&gt;"",E563&lt;&gt;""),((TIMEVALUE(E563)-TIMEVALUE(D563))*24*60),"")</f>
      </c>
      <c r="G563" s="11"/>
      <c r="H563" s="11"/>
      <c r="I563" s="11">
        <f>IF(G563="","Pending",IF(G563&gt;=J563,"Accepted",IF(G563&gt;=(J563-Configuration!$C$5),"Tolerance","Refusal")))</f>
      </c>
      <c r="J563" s="11">
        <f>IFERROR(VLOOKUP(B563,'Plot Plan'!$A:$D,4,FALSE),"")</f>
      </c>
      <c r="K563" s="11">
        <f>IFERROR(VLOOKUP(B563,'Plot Plan'!$A:$B,2,FALSE),"")</f>
      </c>
      <c r="L563" s="11">
        <f>IFERROR(VLOOKUP(B563,'Plot Plan'!$A:$C,3,FALSE),"")</f>
      </c>
    </row>
    <row r="564" spans="1:12" s="8" customFormat="1" x14ac:dyDescent="0.25">
      <c r="A564" s="12"/>
      <c r="B564" s="10"/>
      <c r="C564" s="10"/>
      <c r="D564" s="10"/>
      <c r="E564" s="10"/>
      <c r="F564" s="10">
        <f>IF(AND(D564&lt;&gt;"",E564&lt;&gt;""),((TIMEVALUE(E564)-TIMEVALUE(D564))*24*60),"")</f>
      </c>
      <c r="G564" s="10"/>
      <c r="H564" s="10"/>
      <c r="I564" s="10">
        <f>IF(G564="","Pending",IF(G564&gt;=J564,"Accepted",IF(G564&gt;=(J564-Configuration!$C$5),"Tolerance","Refusal")))</f>
      </c>
      <c r="J564" s="10">
        <f>IFERROR(VLOOKUP(B564,'Plot Plan'!$A:$D,4,FALSE),"")</f>
      </c>
      <c r="K564" s="10">
        <f>IFERROR(VLOOKUP(B564,'Plot Plan'!$A:$B,2,FALSE),"")</f>
      </c>
      <c r="L564" s="10">
        <f>IFERROR(VLOOKUP(B564,'Plot Plan'!$A:$C,3,FALSE),"")</f>
      </c>
    </row>
    <row r="565" spans="1:12" x14ac:dyDescent="0.25">
      <c r="A565" s="13"/>
      <c r="B565" s="11"/>
      <c r="C565" s="11"/>
      <c r="D565" s="11"/>
      <c r="E565" s="11"/>
      <c r="F565" s="11">
        <f>IF(AND(D565&lt;&gt;"",E565&lt;&gt;""),((TIMEVALUE(E565)-TIMEVALUE(D565))*24*60),"")</f>
      </c>
      <c r="G565" s="11"/>
      <c r="H565" s="11"/>
      <c r="I565" s="11">
        <f>IF(G565="","Pending",IF(G565&gt;=J565,"Accepted",IF(G565&gt;=(J565-Configuration!$C$5),"Tolerance","Refusal")))</f>
      </c>
      <c r="J565" s="11">
        <f>IFERROR(VLOOKUP(B565,'Plot Plan'!$A:$D,4,FALSE),"")</f>
      </c>
      <c r="K565" s="11">
        <f>IFERROR(VLOOKUP(B565,'Plot Plan'!$A:$B,2,FALSE),"")</f>
      </c>
      <c r="L565" s="11">
        <f>IFERROR(VLOOKUP(B565,'Plot Plan'!$A:$C,3,FALSE),"")</f>
      </c>
    </row>
    <row r="566" spans="1:12" s="8" customFormat="1" x14ac:dyDescent="0.25">
      <c r="A566" s="12"/>
      <c r="B566" s="10"/>
      <c r="C566" s="10"/>
      <c r="D566" s="10"/>
      <c r="E566" s="10"/>
      <c r="F566" s="10">
        <f>IF(AND(D566&lt;&gt;"",E566&lt;&gt;""),((TIMEVALUE(E566)-TIMEVALUE(D566))*24*60),"")</f>
      </c>
      <c r="G566" s="10"/>
      <c r="H566" s="10"/>
      <c r="I566" s="10">
        <f>IF(G566="","Pending",IF(G566&gt;=J566,"Accepted",IF(G566&gt;=(J566-Configuration!$C$5),"Tolerance","Refusal")))</f>
      </c>
      <c r="J566" s="10">
        <f>IFERROR(VLOOKUP(B566,'Plot Plan'!$A:$D,4,FALSE),"")</f>
      </c>
      <c r="K566" s="10">
        <f>IFERROR(VLOOKUP(B566,'Plot Plan'!$A:$B,2,FALSE),"")</f>
      </c>
      <c r="L566" s="10">
        <f>IFERROR(VLOOKUP(B566,'Plot Plan'!$A:$C,3,FALSE),"")</f>
      </c>
    </row>
    <row r="567" spans="1:12" x14ac:dyDescent="0.25">
      <c r="A567" s="13"/>
      <c r="B567" s="11"/>
      <c r="C567" s="11"/>
      <c r="D567" s="11"/>
      <c r="E567" s="11"/>
      <c r="F567" s="11">
        <f>IF(AND(D567&lt;&gt;"",E567&lt;&gt;""),((TIMEVALUE(E567)-TIMEVALUE(D567))*24*60),"")</f>
      </c>
      <c r="G567" s="11"/>
      <c r="H567" s="11"/>
      <c r="I567" s="11">
        <f>IF(G567="","Pending",IF(G567&gt;=J567,"Accepted",IF(G567&gt;=(J567-Configuration!$C$5),"Tolerance","Refusal")))</f>
      </c>
      <c r="J567" s="11">
        <f>IFERROR(VLOOKUP(B567,'Plot Plan'!$A:$D,4,FALSE),"")</f>
      </c>
      <c r="K567" s="11">
        <f>IFERROR(VLOOKUP(B567,'Plot Plan'!$A:$B,2,FALSE),"")</f>
      </c>
      <c r="L567" s="11">
        <f>IFERROR(VLOOKUP(B567,'Plot Plan'!$A:$C,3,FALSE),"")</f>
      </c>
    </row>
    <row r="568" spans="1:12" s="8" customFormat="1" x14ac:dyDescent="0.25">
      <c r="A568" s="12"/>
      <c r="B568" s="10"/>
      <c r="C568" s="10"/>
      <c r="D568" s="10"/>
      <c r="E568" s="10"/>
      <c r="F568" s="10">
        <f>IF(AND(D568&lt;&gt;"",E568&lt;&gt;""),((TIMEVALUE(E568)-TIMEVALUE(D568))*24*60),"")</f>
      </c>
      <c r="G568" s="10"/>
      <c r="H568" s="10"/>
      <c r="I568" s="10">
        <f>IF(G568="","Pending",IF(G568&gt;=J568,"Accepted",IF(G568&gt;=(J568-Configuration!$C$5),"Tolerance","Refusal")))</f>
      </c>
      <c r="J568" s="10">
        <f>IFERROR(VLOOKUP(B568,'Plot Plan'!$A:$D,4,FALSE),"")</f>
      </c>
      <c r="K568" s="10">
        <f>IFERROR(VLOOKUP(B568,'Plot Plan'!$A:$B,2,FALSE),"")</f>
      </c>
      <c r="L568" s="10">
        <f>IFERROR(VLOOKUP(B568,'Plot Plan'!$A:$C,3,FALSE),"")</f>
      </c>
    </row>
    <row r="569" spans="1:12" x14ac:dyDescent="0.25">
      <c r="A569" s="13"/>
      <c r="B569" s="11"/>
      <c r="C569" s="11"/>
      <c r="D569" s="11"/>
      <c r="E569" s="11"/>
      <c r="F569" s="11">
        <f>IF(AND(D569&lt;&gt;"",E569&lt;&gt;""),((TIMEVALUE(E569)-TIMEVALUE(D569))*24*60),"")</f>
      </c>
      <c r="G569" s="11"/>
      <c r="H569" s="11"/>
      <c r="I569" s="11">
        <f>IF(G569="","Pending",IF(G569&gt;=J569,"Accepted",IF(G569&gt;=(J569-Configuration!$C$5),"Tolerance","Refusal")))</f>
      </c>
      <c r="J569" s="11">
        <f>IFERROR(VLOOKUP(B569,'Plot Plan'!$A:$D,4,FALSE),"")</f>
      </c>
      <c r="K569" s="11">
        <f>IFERROR(VLOOKUP(B569,'Plot Plan'!$A:$B,2,FALSE),"")</f>
      </c>
      <c r="L569" s="11">
        <f>IFERROR(VLOOKUP(B569,'Plot Plan'!$A:$C,3,FALSE),"")</f>
      </c>
    </row>
    <row r="570" spans="1:12" s="8" customFormat="1" x14ac:dyDescent="0.25">
      <c r="A570" s="12"/>
      <c r="B570" s="10"/>
      <c r="C570" s="10"/>
      <c r="D570" s="10"/>
      <c r="E570" s="10"/>
      <c r="F570" s="10">
        <f>IF(AND(D570&lt;&gt;"",E570&lt;&gt;""),((TIMEVALUE(E570)-TIMEVALUE(D570))*24*60),"")</f>
      </c>
      <c r="G570" s="10"/>
      <c r="H570" s="10"/>
      <c r="I570" s="10">
        <f>IF(G570="","Pending",IF(G570&gt;=J570,"Accepted",IF(G570&gt;=(J570-Configuration!$C$5),"Tolerance","Refusal")))</f>
      </c>
      <c r="J570" s="10">
        <f>IFERROR(VLOOKUP(B570,'Plot Plan'!$A:$D,4,FALSE),"")</f>
      </c>
      <c r="K570" s="10">
        <f>IFERROR(VLOOKUP(B570,'Plot Plan'!$A:$B,2,FALSE),"")</f>
      </c>
      <c r="L570" s="10">
        <f>IFERROR(VLOOKUP(B570,'Plot Plan'!$A:$C,3,FALSE),"")</f>
      </c>
    </row>
    <row r="571" spans="1:12" x14ac:dyDescent="0.25">
      <c r="A571" s="13"/>
      <c r="B571" s="11"/>
      <c r="C571" s="11"/>
      <c r="D571" s="11"/>
      <c r="E571" s="11"/>
      <c r="F571" s="11">
        <f>IF(AND(D571&lt;&gt;"",E571&lt;&gt;""),((TIMEVALUE(E571)-TIMEVALUE(D571))*24*60),"")</f>
      </c>
      <c r="G571" s="11"/>
      <c r="H571" s="11"/>
      <c r="I571" s="11">
        <f>IF(G571="","Pending",IF(G571&gt;=J571,"Accepted",IF(G571&gt;=(J571-Configuration!$C$5),"Tolerance","Refusal")))</f>
      </c>
      <c r="J571" s="11">
        <f>IFERROR(VLOOKUP(B571,'Plot Plan'!$A:$D,4,FALSE),"")</f>
      </c>
      <c r="K571" s="11">
        <f>IFERROR(VLOOKUP(B571,'Plot Plan'!$A:$B,2,FALSE),"")</f>
      </c>
      <c r="L571" s="11">
        <f>IFERROR(VLOOKUP(B571,'Plot Plan'!$A:$C,3,FALSE),"")</f>
      </c>
    </row>
    <row r="572" spans="1:12" s="8" customFormat="1" x14ac:dyDescent="0.25">
      <c r="A572" s="12"/>
      <c r="B572" s="10"/>
      <c r="C572" s="10"/>
      <c r="D572" s="10"/>
      <c r="E572" s="10"/>
      <c r="F572" s="10">
        <f>IF(AND(D572&lt;&gt;"",E572&lt;&gt;""),((TIMEVALUE(E572)-TIMEVALUE(D572))*24*60),"")</f>
      </c>
      <c r="G572" s="10"/>
      <c r="H572" s="10"/>
      <c r="I572" s="10">
        <f>IF(G572="","Pending",IF(G572&gt;=J572,"Accepted",IF(G572&gt;=(J572-Configuration!$C$5),"Tolerance","Refusal")))</f>
      </c>
      <c r="J572" s="10">
        <f>IFERROR(VLOOKUP(B572,'Plot Plan'!$A:$D,4,FALSE),"")</f>
      </c>
      <c r="K572" s="10">
        <f>IFERROR(VLOOKUP(B572,'Plot Plan'!$A:$B,2,FALSE),"")</f>
      </c>
      <c r="L572" s="10">
        <f>IFERROR(VLOOKUP(B572,'Plot Plan'!$A:$C,3,FALSE),"")</f>
      </c>
    </row>
    <row r="573" spans="1:12" x14ac:dyDescent="0.25">
      <c r="A573" s="13"/>
      <c r="B573" s="11"/>
      <c r="C573" s="11"/>
      <c r="D573" s="11"/>
      <c r="E573" s="11"/>
      <c r="F573" s="11">
        <f>IF(AND(D573&lt;&gt;"",E573&lt;&gt;""),((TIMEVALUE(E573)-TIMEVALUE(D573))*24*60),"")</f>
      </c>
      <c r="G573" s="11"/>
      <c r="H573" s="11"/>
      <c r="I573" s="11">
        <f>IF(G573="","Pending",IF(G573&gt;=J573,"Accepted",IF(G573&gt;=(J573-Configuration!$C$5),"Tolerance","Refusal")))</f>
      </c>
      <c r="J573" s="11">
        <f>IFERROR(VLOOKUP(B573,'Plot Plan'!$A:$D,4,FALSE),"")</f>
      </c>
      <c r="K573" s="11">
        <f>IFERROR(VLOOKUP(B573,'Plot Plan'!$A:$B,2,FALSE),"")</f>
      </c>
      <c r="L573" s="11">
        <f>IFERROR(VLOOKUP(B573,'Plot Plan'!$A:$C,3,FALSE),"")</f>
      </c>
    </row>
    <row r="574" spans="1:12" s="8" customFormat="1" x14ac:dyDescent="0.25">
      <c r="A574" s="12"/>
      <c r="B574" s="10"/>
      <c r="C574" s="10"/>
      <c r="D574" s="10"/>
      <c r="E574" s="10"/>
      <c r="F574" s="10">
        <f>IF(AND(D574&lt;&gt;"",E574&lt;&gt;""),((TIMEVALUE(E574)-TIMEVALUE(D574))*24*60),"")</f>
      </c>
      <c r="G574" s="10"/>
      <c r="H574" s="10"/>
      <c r="I574" s="10">
        <f>IF(G574="","Pending",IF(G574&gt;=J574,"Accepted",IF(G574&gt;=(J574-Configuration!$C$5),"Tolerance","Refusal")))</f>
      </c>
      <c r="J574" s="10">
        <f>IFERROR(VLOOKUP(B574,'Plot Plan'!$A:$D,4,FALSE),"")</f>
      </c>
      <c r="K574" s="10">
        <f>IFERROR(VLOOKUP(B574,'Plot Plan'!$A:$B,2,FALSE),"")</f>
      </c>
      <c r="L574" s="10">
        <f>IFERROR(VLOOKUP(B574,'Plot Plan'!$A:$C,3,FALSE),"")</f>
      </c>
    </row>
    <row r="575" spans="1:12" x14ac:dyDescent="0.25">
      <c r="A575" s="13"/>
      <c r="B575" s="11"/>
      <c r="C575" s="11"/>
      <c r="D575" s="11"/>
      <c r="E575" s="11"/>
      <c r="F575" s="11">
        <f>IF(AND(D575&lt;&gt;"",E575&lt;&gt;""),((TIMEVALUE(E575)-TIMEVALUE(D575))*24*60),"")</f>
      </c>
      <c r="G575" s="11"/>
      <c r="H575" s="11"/>
      <c r="I575" s="11">
        <f>IF(G575="","Pending",IF(G575&gt;=J575,"Accepted",IF(G575&gt;=(J575-Configuration!$C$5),"Tolerance","Refusal")))</f>
      </c>
      <c r="J575" s="11">
        <f>IFERROR(VLOOKUP(B575,'Plot Plan'!$A:$D,4,FALSE),"")</f>
      </c>
      <c r="K575" s="11">
        <f>IFERROR(VLOOKUP(B575,'Plot Plan'!$A:$B,2,FALSE),"")</f>
      </c>
      <c r="L575" s="11">
        <f>IFERROR(VLOOKUP(B575,'Plot Plan'!$A:$C,3,FALSE),"")</f>
      </c>
    </row>
    <row r="576" spans="1:12" s="8" customFormat="1" x14ac:dyDescent="0.25">
      <c r="A576" s="12"/>
      <c r="B576" s="10"/>
      <c r="C576" s="10"/>
      <c r="D576" s="10"/>
      <c r="E576" s="10"/>
      <c r="F576" s="10">
        <f>IF(AND(D576&lt;&gt;"",E576&lt;&gt;""),((TIMEVALUE(E576)-TIMEVALUE(D576))*24*60),"")</f>
      </c>
      <c r="G576" s="10"/>
      <c r="H576" s="10"/>
      <c r="I576" s="10">
        <f>IF(G576="","Pending",IF(G576&gt;=J576,"Accepted",IF(G576&gt;=(J576-Configuration!$C$5),"Tolerance","Refusal")))</f>
      </c>
      <c r="J576" s="10">
        <f>IFERROR(VLOOKUP(B576,'Plot Plan'!$A:$D,4,FALSE),"")</f>
      </c>
      <c r="K576" s="10">
        <f>IFERROR(VLOOKUP(B576,'Plot Plan'!$A:$B,2,FALSE),"")</f>
      </c>
      <c r="L576" s="10">
        <f>IFERROR(VLOOKUP(B576,'Plot Plan'!$A:$C,3,FALSE),"")</f>
      </c>
    </row>
    <row r="577" spans="1:12" x14ac:dyDescent="0.25">
      <c r="A577" s="13"/>
      <c r="B577" s="11"/>
      <c r="C577" s="11"/>
      <c r="D577" s="11"/>
      <c r="E577" s="11"/>
      <c r="F577" s="11">
        <f>IF(AND(D577&lt;&gt;"",E577&lt;&gt;""),((TIMEVALUE(E577)-TIMEVALUE(D577))*24*60),"")</f>
      </c>
      <c r="G577" s="11"/>
      <c r="H577" s="11"/>
      <c r="I577" s="11">
        <f>IF(G577="","Pending",IF(G577&gt;=J577,"Accepted",IF(G577&gt;=(J577-Configuration!$C$5),"Tolerance","Refusal")))</f>
      </c>
      <c r="J577" s="11">
        <f>IFERROR(VLOOKUP(B577,'Plot Plan'!$A:$D,4,FALSE),"")</f>
      </c>
      <c r="K577" s="11">
        <f>IFERROR(VLOOKUP(B577,'Plot Plan'!$A:$B,2,FALSE),"")</f>
      </c>
      <c r="L577" s="11">
        <f>IFERROR(VLOOKUP(B577,'Plot Plan'!$A:$C,3,FALSE),"")</f>
      </c>
    </row>
    <row r="578" spans="1:12" s="8" customFormat="1" x14ac:dyDescent="0.25">
      <c r="A578" s="12"/>
      <c r="B578" s="10"/>
      <c r="C578" s="10"/>
      <c r="D578" s="10"/>
      <c r="E578" s="10"/>
      <c r="F578" s="10">
        <f>IF(AND(D578&lt;&gt;"",E578&lt;&gt;""),((TIMEVALUE(E578)-TIMEVALUE(D578))*24*60),"")</f>
      </c>
      <c r="G578" s="10"/>
      <c r="H578" s="10"/>
      <c r="I578" s="10">
        <f>IF(G578="","Pending",IF(G578&gt;=J578,"Accepted",IF(G578&gt;=(J578-Configuration!$C$5),"Tolerance","Refusal")))</f>
      </c>
      <c r="J578" s="10">
        <f>IFERROR(VLOOKUP(B578,'Plot Plan'!$A:$D,4,FALSE),"")</f>
      </c>
      <c r="K578" s="10">
        <f>IFERROR(VLOOKUP(B578,'Plot Plan'!$A:$B,2,FALSE),"")</f>
      </c>
      <c r="L578" s="10">
        <f>IFERROR(VLOOKUP(B578,'Plot Plan'!$A:$C,3,FALSE),"")</f>
      </c>
    </row>
    <row r="579" spans="1:12" x14ac:dyDescent="0.25">
      <c r="A579" s="13"/>
      <c r="B579" s="11"/>
      <c r="C579" s="11"/>
      <c r="D579" s="11"/>
      <c r="E579" s="11"/>
      <c r="F579" s="11">
        <f>IF(AND(D579&lt;&gt;"",E579&lt;&gt;""),((TIMEVALUE(E579)-TIMEVALUE(D579))*24*60),"")</f>
      </c>
      <c r="G579" s="11"/>
      <c r="H579" s="11"/>
      <c r="I579" s="11">
        <f>IF(G579="","Pending",IF(G579&gt;=J579,"Accepted",IF(G579&gt;=(J579-Configuration!$C$5),"Tolerance","Refusal")))</f>
      </c>
      <c r="J579" s="11">
        <f>IFERROR(VLOOKUP(B579,'Plot Plan'!$A:$D,4,FALSE),"")</f>
      </c>
      <c r="K579" s="11">
        <f>IFERROR(VLOOKUP(B579,'Plot Plan'!$A:$B,2,FALSE),"")</f>
      </c>
      <c r="L579" s="11">
        <f>IFERROR(VLOOKUP(B579,'Plot Plan'!$A:$C,3,FALSE),"")</f>
      </c>
    </row>
    <row r="580" spans="1:12" s="8" customFormat="1" x14ac:dyDescent="0.25">
      <c r="A580" s="12"/>
      <c r="B580" s="10"/>
      <c r="C580" s="10"/>
      <c r="D580" s="10"/>
      <c r="E580" s="10"/>
      <c r="F580" s="10">
        <f>IF(AND(D580&lt;&gt;"",E580&lt;&gt;""),((TIMEVALUE(E580)-TIMEVALUE(D580))*24*60),"")</f>
      </c>
      <c r="G580" s="10"/>
      <c r="H580" s="10"/>
      <c r="I580" s="10">
        <f>IF(G580="","Pending",IF(G580&gt;=J580,"Accepted",IF(G580&gt;=(J580-Configuration!$C$5),"Tolerance","Refusal")))</f>
      </c>
      <c r="J580" s="10">
        <f>IFERROR(VLOOKUP(B580,'Plot Plan'!$A:$D,4,FALSE),"")</f>
      </c>
      <c r="K580" s="10">
        <f>IFERROR(VLOOKUP(B580,'Plot Plan'!$A:$B,2,FALSE),"")</f>
      </c>
      <c r="L580" s="10">
        <f>IFERROR(VLOOKUP(B580,'Plot Plan'!$A:$C,3,FALSE),"")</f>
      </c>
    </row>
    <row r="581" spans="1:12" x14ac:dyDescent="0.25">
      <c r="A581" s="13"/>
      <c r="B581" s="11"/>
      <c r="C581" s="11"/>
      <c r="D581" s="11"/>
      <c r="E581" s="11"/>
      <c r="F581" s="11">
        <f>IF(AND(D581&lt;&gt;"",E581&lt;&gt;""),((TIMEVALUE(E581)-TIMEVALUE(D581))*24*60),"")</f>
      </c>
      <c r="G581" s="11"/>
      <c r="H581" s="11"/>
      <c r="I581" s="11">
        <f>IF(G581="","Pending",IF(G581&gt;=J581,"Accepted",IF(G581&gt;=(J581-Configuration!$C$5),"Tolerance","Refusal")))</f>
      </c>
      <c r="J581" s="11">
        <f>IFERROR(VLOOKUP(B581,'Plot Plan'!$A:$D,4,FALSE),"")</f>
      </c>
      <c r="K581" s="11">
        <f>IFERROR(VLOOKUP(B581,'Plot Plan'!$A:$B,2,FALSE),"")</f>
      </c>
      <c r="L581" s="11">
        <f>IFERROR(VLOOKUP(B581,'Plot Plan'!$A:$C,3,FALSE),"")</f>
      </c>
    </row>
    <row r="582" spans="1:12" s="8" customFormat="1" x14ac:dyDescent="0.25">
      <c r="A582" s="12"/>
      <c r="B582" s="10"/>
      <c r="C582" s="10"/>
      <c r="D582" s="10"/>
      <c r="E582" s="10"/>
      <c r="F582" s="10">
        <f>IF(AND(D582&lt;&gt;"",E582&lt;&gt;""),((TIMEVALUE(E582)-TIMEVALUE(D582))*24*60),"")</f>
      </c>
      <c r="G582" s="10"/>
      <c r="H582" s="10"/>
      <c r="I582" s="10">
        <f>IF(G582="","Pending",IF(G582&gt;=J582,"Accepted",IF(G582&gt;=(J582-Configuration!$C$5),"Tolerance","Refusal")))</f>
      </c>
      <c r="J582" s="10">
        <f>IFERROR(VLOOKUP(B582,'Plot Plan'!$A:$D,4,FALSE),"")</f>
      </c>
      <c r="K582" s="10">
        <f>IFERROR(VLOOKUP(B582,'Plot Plan'!$A:$B,2,FALSE),"")</f>
      </c>
      <c r="L582" s="10">
        <f>IFERROR(VLOOKUP(B582,'Plot Plan'!$A:$C,3,FALSE),"")</f>
      </c>
    </row>
    <row r="583" spans="1:12" x14ac:dyDescent="0.25">
      <c r="A583" s="13"/>
      <c r="B583" s="11"/>
      <c r="C583" s="11"/>
      <c r="D583" s="11"/>
      <c r="E583" s="11"/>
      <c r="F583" s="11">
        <f>IF(AND(D583&lt;&gt;"",E583&lt;&gt;""),((TIMEVALUE(E583)-TIMEVALUE(D583))*24*60),"")</f>
      </c>
      <c r="G583" s="11"/>
      <c r="H583" s="11"/>
      <c r="I583" s="11">
        <f>IF(G583="","Pending",IF(G583&gt;=J583,"Accepted",IF(G583&gt;=(J583-Configuration!$C$5),"Tolerance","Refusal")))</f>
      </c>
      <c r="J583" s="11">
        <f>IFERROR(VLOOKUP(B583,'Plot Plan'!$A:$D,4,FALSE),"")</f>
      </c>
      <c r="K583" s="11">
        <f>IFERROR(VLOOKUP(B583,'Plot Plan'!$A:$B,2,FALSE),"")</f>
      </c>
      <c r="L583" s="11">
        <f>IFERROR(VLOOKUP(B583,'Plot Plan'!$A:$C,3,FALSE),"")</f>
      </c>
    </row>
    <row r="584" spans="1:12" s="8" customFormat="1" x14ac:dyDescent="0.25">
      <c r="A584" s="12"/>
      <c r="B584" s="10"/>
      <c r="C584" s="10"/>
      <c r="D584" s="10"/>
      <c r="E584" s="10"/>
      <c r="F584" s="10">
        <f>IF(AND(D584&lt;&gt;"",E584&lt;&gt;""),((TIMEVALUE(E584)-TIMEVALUE(D584))*24*60),"")</f>
      </c>
      <c r="G584" s="10"/>
      <c r="H584" s="10"/>
      <c r="I584" s="10">
        <f>IF(G584="","Pending",IF(G584&gt;=J584,"Accepted",IF(G584&gt;=(J584-Configuration!$C$5),"Tolerance","Refusal")))</f>
      </c>
      <c r="J584" s="10">
        <f>IFERROR(VLOOKUP(B584,'Plot Plan'!$A:$D,4,FALSE),"")</f>
      </c>
      <c r="K584" s="10">
        <f>IFERROR(VLOOKUP(B584,'Plot Plan'!$A:$B,2,FALSE),"")</f>
      </c>
      <c r="L584" s="10">
        <f>IFERROR(VLOOKUP(B584,'Plot Plan'!$A:$C,3,FALSE),"")</f>
      </c>
    </row>
    <row r="585" spans="1:12" x14ac:dyDescent="0.25">
      <c r="A585" s="13"/>
      <c r="B585" s="11"/>
      <c r="C585" s="11"/>
      <c r="D585" s="11"/>
      <c r="E585" s="11"/>
      <c r="F585" s="11">
        <f>IF(AND(D585&lt;&gt;"",E585&lt;&gt;""),((TIMEVALUE(E585)-TIMEVALUE(D585))*24*60),"")</f>
      </c>
      <c r="G585" s="11"/>
      <c r="H585" s="11"/>
      <c r="I585" s="11">
        <f>IF(G585="","Pending",IF(G585&gt;=J585,"Accepted",IF(G585&gt;=(J585-Configuration!$C$5),"Tolerance","Refusal")))</f>
      </c>
      <c r="J585" s="11">
        <f>IFERROR(VLOOKUP(B585,'Plot Plan'!$A:$D,4,FALSE),"")</f>
      </c>
      <c r="K585" s="11">
        <f>IFERROR(VLOOKUP(B585,'Plot Plan'!$A:$B,2,FALSE),"")</f>
      </c>
      <c r="L585" s="11">
        <f>IFERROR(VLOOKUP(B585,'Plot Plan'!$A:$C,3,FALSE),"")</f>
      </c>
    </row>
    <row r="586" spans="1:12" s="8" customFormat="1" x14ac:dyDescent="0.25">
      <c r="A586" s="12"/>
      <c r="B586" s="10"/>
      <c r="C586" s="10"/>
      <c r="D586" s="10"/>
      <c r="E586" s="10"/>
      <c r="F586" s="10">
        <f>IF(AND(D586&lt;&gt;"",E586&lt;&gt;""),((TIMEVALUE(E586)-TIMEVALUE(D586))*24*60),"")</f>
      </c>
      <c r="G586" s="10"/>
      <c r="H586" s="10"/>
      <c r="I586" s="10">
        <f>IF(G586="","Pending",IF(G586&gt;=J586,"Accepted",IF(G586&gt;=(J586-Configuration!$C$5),"Tolerance","Refusal")))</f>
      </c>
      <c r="J586" s="10">
        <f>IFERROR(VLOOKUP(B586,'Plot Plan'!$A:$D,4,FALSE),"")</f>
      </c>
      <c r="K586" s="10">
        <f>IFERROR(VLOOKUP(B586,'Plot Plan'!$A:$B,2,FALSE),"")</f>
      </c>
      <c r="L586" s="10">
        <f>IFERROR(VLOOKUP(B586,'Plot Plan'!$A:$C,3,FALSE),"")</f>
      </c>
    </row>
    <row r="587" spans="1:12" x14ac:dyDescent="0.25">
      <c r="A587" s="13"/>
      <c r="B587" s="11"/>
      <c r="C587" s="11"/>
      <c r="D587" s="11"/>
      <c r="E587" s="11"/>
      <c r="F587" s="11">
        <f>IF(AND(D587&lt;&gt;"",E587&lt;&gt;""),((TIMEVALUE(E587)-TIMEVALUE(D587))*24*60),"")</f>
      </c>
      <c r="G587" s="11"/>
      <c r="H587" s="11"/>
      <c r="I587" s="11">
        <f>IF(G587="","Pending",IF(G587&gt;=J587,"Accepted",IF(G587&gt;=(J587-Configuration!$C$5),"Tolerance","Refusal")))</f>
      </c>
      <c r="J587" s="11">
        <f>IFERROR(VLOOKUP(B587,'Plot Plan'!$A:$D,4,FALSE),"")</f>
      </c>
      <c r="K587" s="11">
        <f>IFERROR(VLOOKUP(B587,'Plot Plan'!$A:$B,2,FALSE),"")</f>
      </c>
      <c r="L587" s="11">
        <f>IFERROR(VLOOKUP(B587,'Plot Plan'!$A:$C,3,FALSE),"")</f>
      </c>
    </row>
    <row r="588" spans="1:12" s="8" customFormat="1" x14ac:dyDescent="0.25">
      <c r="A588" s="12"/>
      <c r="B588" s="10"/>
      <c r="C588" s="10"/>
      <c r="D588" s="10"/>
      <c r="E588" s="10"/>
      <c r="F588" s="10">
        <f>IF(AND(D588&lt;&gt;"",E588&lt;&gt;""),((TIMEVALUE(E588)-TIMEVALUE(D588))*24*60),"")</f>
      </c>
      <c r="G588" s="10"/>
      <c r="H588" s="10"/>
      <c r="I588" s="10">
        <f>IF(G588="","Pending",IF(G588&gt;=J588,"Accepted",IF(G588&gt;=(J588-Configuration!$C$5),"Tolerance","Refusal")))</f>
      </c>
      <c r="J588" s="10">
        <f>IFERROR(VLOOKUP(B588,'Plot Plan'!$A:$D,4,FALSE),"")</f>
      </c>
      <c r="K588" s="10">
        <f>IFERROR(VLOOKUP(B588,'Plot Plan'!$A:$B,2,FALSE),"")</f>
      </c>
      <c r="L588" s="10">
        <f>IFERROR(VLOOKUP(B588,'Plot Plan'!$A:$C,3,FALSE),"")</f>
      </c>
    </row>
    <row r="589" spans="1:12" x14ac:dyDescent="0.25">
      <c r="A589" s="13"/>
      <c r="B589" s="11"/>
      <c r="C589" s="11"/>
      <c r="D589" s="11"/>
      <c r="E589" s="11"/>
      <c r="F589" s="11">
        <f>IF(AND(D589&lt;&gt;"",E589&lt;&gt;""),((TIMEVALUE(E589)-TIMEVALUE(D589))*24*60),"")</f>
      </c>
      <c r="G589" s="11"/>
      <c r="H589" s="11"/>
      <c r="I589" s="11">
        <f>IF(G589="","Pending",IF(G589&gt;=J589,"Accepted",IF(G589&gt;=(J589-Configuration!$C$5),"Tolerance","Refusal")))</f>
      </c>
      <c r="J589" s="11">
        <f>IFERROR(VLOOKUP(B589,'Plot Plan'!$A:$D,4,FALSE),"")</f>
      </c>
      <c r="K589" s="11">
        <f>IFERROR(VLOOKUP(B589,'Plot Plan'!$A:$B,2,FALSE),"")</f>
      </c>
      <c r="L589" s="11">
        <f>IFERROR(VLOOKUP(B589,'Plot Plan'!$A:$C,3,FALSE),"")</f>
      </c>
    </row>
    <row r="590" spans="1:12" s="8" customFormat="1" x14ac:dyDescent="0.25">
      <c r="A590" s="12"/>
      <c r="B590" s="10"/>
      <c r="C590" s="10"/>
      <c r="D590" s="10"/>
      <c r="E590" s="10"/>
      <c r="F590" s="10">
        <f>IF(AND(D590&lt;&gt;"",E590&lt;&gt;""),((TIMEVALUE(E590)-TIMEVALUE(D590))*24*60),"")</f>
      </c>
      <c r="G590" s="10"/>
      <c r="H590" s="10"/>
      <c r="I590" s="10">
        <f>IF(G590="","Pending",IF(G590&gt;=J590,"Accepted",IF(G590&gt;=(J590-Configuration!$C$5),"Tolerance","Refusal")))</f>
      </c>
      <c r="J590" s="10">
        <f>IFERROR(VLOOKUP(B590,'Plot Plan'!$A:$D,4,FALSE),"")</f>
      </c>
      <c r="K590" s="10">
        <f>IFERROR(VLOOKUP(B590,'Plot Plan'!$A:$B,2,FALSE),"")</f>
      </c>
      <c r="L590" s="10">
        <f>IFERROR(VLOOKUP(B590,'Plot Plan'!$A:$C,3,FALSE),"")</f>
      </c>
    </row>
    <row r="591" spans="1:12" x14ac:dyDescent="0.25">
      <c r="A591" s="13"/>
      <c r="B591" s="11"/>
      <c r="C591" s="11"/>
      <c r="D591" s="11"/>
      <c r="E591" s="11"/>
      <c r="F591" s="11">
        <f>IF(AND(D591&lt;&gt;"",E591&lt;&gt;""),((TIMEVALUE(E591)-TIMEVALUE(D591))*24*60),"")</f>
      </c>
      <c r="G591" s="11"/>
      <c r="H591" s="11"/>
      <c r="I591" s="11">
        <f>IF(G591="","Pending",IF(G591&gt;=J591,"Accepted",IF(G591&gt;=(J591-Configuration!$C$5),"Tolerance","Refusal")))</f>
      </c>
      <c r="J591" s="11">
        <f>IFERROR(VLOOKUP(B591,'Plot Plan'!$A:$D,4,FALSE),"")</f>
      </c>
      <c r="K591" s="11">
        <f>IFERROR(VLOOKUP(B591,'Plot Plan'!$A:$B,2,FALSE),"")</f>
      </c>
      <c r="L591" s="11">
        <f>IFERROR(VLOOKUP(B591,'Plot Plan'!$A:$C,3,FALSE),"")</f>
      </c>
    </row>
    <row r="592" spans="1:12" s="8" customFormat="1" x14ac:dyDescent="0.25">
      <c r="A592" s="12"/>
      <c r="B592" s="10"/>
      <c r="C592" s="10"/>
      <c r="D592" s="10"/>
      <c r="E592" s="10"/>
      <c r="F592" s="10">
        <f>IF(AND(D592&lt;&gt;"",E592&lt;&gt;""),((TIMEVALUE(E592)-TIMEVALUE(D592))*24*60),"")</f>
      </c>
      <c r="G592" s="10"/>
      <c r="H592" s="10"/>
      <c r="I592" s="10">
        <f>IF(G592="","Pending",IF(G592&gt;=J592,"Accepted",IF(G592&gt;=(J592-Configuration!$C$5),"Tolerance","Refusal")))</f>
      </c>
      <c r="J592" s="10">
        <f>IFERROR(VLOOKUP(B592,'Plot Plan'!$A:$D,4,FALSE),"")</f>
      </c>
      <c r="K592" s="10">
        <f>IFERROR(VLOOKUP(B592,'Plot Plan'!$A:$B,2,FALSE),"")</f>
      </c>
      <c r="L592" s="10">
        <f>IFERROR(VLOOKUP(B592,'Plot Plan'!$A:$C,3,FALSE),"")</f>
      </c>
    </row>
    <row r="593" spans="1:12" x14ac:dyDescent="0.25">
      <c r="A593" s="13"/>
      <c r="B593" s="11"/>
      <c r="C593" s="11"/>
      <c r="D593" s="11"/>
      <c r="E593" s="11"/>
      <c r="F593" s="11">
        <f>IF(AND(D593&lt;&gt;"",E593&lt;&gt;""),((TIMEVALUE(E593)-TIMEVALUE(D593))*24*60),"")</f>
      </c>
      <c r="G593" s="11"/>
      <c r="H593" s="11"/>
      <c r="I593" s="11">
        <f>IF(G593="","Pending",IF(G593&gt;=J593,"Accepted",IF(G593&gt;=(J593-Configuration!$C$5),"Tolerance","Refusal")))</f>
      </c>
      <c r="J593" s="11">
        <f>IFERROR(VLOOKUP(B593,'Plot Plan'!$A:$D,4,FALSE),"")</f>
      </c>
      <c r="K593" s="11">
        <f>IFERROR(VLOOKUP(B593,'Plot Plan'!$A:$B,2,FALSE),"")</f>
      </c>
      <c r="L593" s="11">
        <f>IFERROR(VLOOKUP(B593,'Plot Plan'!$A:$C,3,FALSE),"")</f>
      </c>
    </row>
    <row r="594" spans="1:12" s="8" customFormat="1" x14ac:dyDescent="0.25">
      <c r="A594" s="12"/>
      <c r="B594" s="10"/>
      <c r="C594" s="10"/>
      <c r="D594" s="10"/>
      <c r="E594" s="10"/>
      <c r="F594" s="10">
        <f>IF(AND(D594&lt;&gt;"",E594&lt;&gt;""),((TIMEVALUE(E594)-TIMEVALUE(D594))*24*60),"")</f>
      </c>
      <c r="G594" s="10"/>
      <c r="H594" s="10"/>
      <c r="I594" s="10">
        <f>IF(G594="","Pending",IF(G594&gt;=J594,"Accepted",IF(G594&gt;=(J594-Configuration!$C$5),"Tolerance","Refusal")))</f>
      </c>
      <c r="J594" s="10">
        <f>IFERROR(VLOOKUP(B594,'Plot Plan'!$A:$D,4,FALSE),"")</f>
      </c>
      <c r="K594" s="10">
        <f>IFERROR(VLOOKUP(B594,'Plot Plan'!$A:$B,2,FALSE),"")</f>
      </c>
      <c r="L594" s="10">
        <f>IFERROR(VLOOKUP(B594,'Plot Plan'!$A:$C,3,FALSE),"")</f>
      </c>
    </row>
    <row r="595" spans="1:12" x14ac:dyDescent="0.25">
      <c r="A595" s="13"/>
      <c r="B595" s="11"/>
      <c r="C595" s="11"/>
      <c r="D595" s="11"/>
      <c r="E595" s="11"/>
      <c r="F595" s="11">
        <f>IF(AND(D595&lt;&gt;"",E595&lt;&gt;""),((TIMEVALUE(E595)-TIMEVALUE(D595))*24*60),"")</f>
      </c>
      <c r="G595" s="11"/>
      <c r="H595" s="11"/>
      <c r="I595" s="11">
        <f>IF(G595="","Pending",IF(G595&gt;=J595,"Accepted",IF(G595&gt;=(J595-Configuration!$C$5),"Tolerance","Refusal")))</f>
      </c>
      <c r="J595" s="11">
        <f>IFERROR(VLOOKUP(B595,'Plot Plan'!$A:$D,4,FALSE),"")</f>
      </c>
      <c r="K595" s="11">
        <f>IFERROR(VLOOKUP(B595,'Plot Plan'!$A:$B,2,FALSE),"")</f>
      </c>
      <c r="L595" s="11">
        <f>IFERROR(VLOOKUP(B595,'Plot Plan'!$A:$C,3,FALSE),"")</f>
      </c>
    </row>
    <row r="596" spans="1:12" s="8" customFormat="1" x14ac:dyDescent="0.25">
      <c r="A596" s="12"/>
      <c r="B596" s="10"/>
      <c r="C596" s="10"/>
      <c r="D596" s="10"/>
      <c r="E596" s="10"/>
      <c r="F596" s="10">
        <f>IF(AND(D596&lt;&gt;"",E596&lt;&gt;""),((TIMEVALUE(E596)-TIMEVALUE(D596))*24*60),"")</f>
      </c>
      <c r="G596" s="10"/>
      <c r="H596" s="10"/>
      <c r="I596" s="10">
        <f>IF(G596="","Pending",IF(G596&gt;=J596,"Accepted",IF(G596&gt;=(J596-Configuration!$C$5),"Tolerance","Refusal")))</f>
      </c>
      <c r="J596" s="10">
        <f>IFERROR(VLOOKUP(B596,'Plot Plan'!$A:$D,4,FALSE),"")</f>
      </c>
      <c r="K596" s="10">
        <f>IFERROR(VLOOKUP(B596,'Plot Plan'!$A:$B,2,FALSE),"")</f>
      </c>
      <c r="L596" s="10">
        <f>IFERROR(VLOOKUP(B596,'Plot Plan'!$A:$C,3,FALSE),"")</f>
      </c>
    </row>
    <row r="597" spans="1:12" x14ac:dyDescent="0.25">
      <c r="A597" s="13"/>
      <c r="B597" s="11"/>
      <c r="C597" s="11"/>
      <c r="D597" s="11"/>
      <c r="E597" s="11"/>
      <c r="F597" s="11">
        <f>IF(AND(D597&lt;&gt;"",E597&lt;&gt;""),((TIMEVALUE(E597)-TIMEVALUE(D597))*24*60),"")</f>
      </c>
      <c r="G597" s="11"/>
      <c r="H597" s="11"/>
      <c r="I597" s="11">
        <f>IF(G597="","Pending",IF(G597&gt;=J597,"Accepted",IF(G597&gt;=(J597-Configuration!$C$5),"Tolerance","Refusal")))</f>
      </c>
      <c r="J597" s="11">
        <f>IFERROR(VLOOKUP(B597,'Plot Plan'!$A:$D,4,FALSE),"")</f>
      </c>
      <c r="K597" s="11">
        <f>IFERROR(VLOOKUP(B597,'Plot Plan'!$A:$B,2,FALSE),"")</f>
      </c>
      <c r="L597" s="11">
        <f>IFERROR(VLOOKUP(B597,'Plot Plan'!$A:$C,3,FALSE),"")</f>
      </c>
    </row>
    <row r="598" spans="1:12" s="8" customFormat="1" x14ac:dyDescent="0.25">
      <c r="A598" s="12"/>
      <c r="B598" s="10"/>
      <c r="C598" s="10"/>
      <c r="D598" s="10"/>
      <c r="E598" s="10"/>
      <c r="F598" s="10">
        <f>IF(AND(D598&lt;&gt;"",E598&lt;&gt;""),((TIMEVALUE(E598)-TIMEVALUE(D598))*24*60),"")</f>
      </c>
      <c r="G598" s="10"/>
      <c r="H598" s="10"/>
      <c r="I598" s="10">
        <f>IF(G598="","Pending",IF(G598&gt;=J598,"Accepted",IF(G598&gt;=(J598-Configuration!$C$5),"Tolerance","Refusal")))</f>
      </c>
      <c r="J598" s="10">
        <f>IFERROR(VLOOKUP(B598,'Plot Plan'!$A:$D,4,FALSE),"")</f>
      </c>
      <c r="K598" s="10">
        <f>IFERROR(VLOOKUP(B598,'Plot Plan'!$A:$B,2,FALSE),"")</f>
      </c>
      <c r="L598" s="10">
        <f>IFERROR(VLOOKUP(B598,'Plot Plan'!$A:$C,3,FALSE),"")</f>
      </c>
    </row>
    <row r="599" spans="1:12" x14ac:dyDescent="0.25">
      <c r="A599" s="13"/>
      <c r="B599" s="11"/>
      <c r="C599" s="11"/>
      <c r="D599" s="11"/>
      <c r="E599" s="11"/>
      <c r="F599" s="11">
        <f>IF(AND(D599&lt;&gt;"",E599&lt;&gt;""),((TIMEVALUE(E599)-TIMEVALUE(D599))*24*60),"")</f>
      </c>
      <c r="G599" s="11"/>
      <c r="H599" s="11"/>
      <c r="I599" s="11">
        <f>IF(G599="","Pending",IF(G599&gt;=J599,"Accepted",IF(G599&gt;=(J599-Configuration!$C$5),"Tolerance","Refusal")))</f>
      </c>
      <c r="J599" s="11">
        <f>IFERROR(VLOOKUP(B599,'Plot Plan'!$A:$D,4,FALSE),"")</f>
      </c>
      <c r="K599" s="11">
        <f>IFERROR(VLOOKUP(B599,'Plot Plan'!$A:$B,2,FALSE),"")</f>
      </c>
      <c r="L599" s="11">
        <f>IFERROR(VLOOKUP(B599,'Plot Plan'!$A:$C,3,FALSE),"")</f>
      </c>
    </row>
    <row r="600" spans="1:12" s="8" customFormat="1" x14ac:dyDescent="0.25">
      <c r="A600" s="12"/>
      <c r="B600" s="10"/>
      <c r="C600" s="10"/>
      <c r="D600" s="10"/>
      <c r="E600" s="10"/>
      <c r="F600" s="10">
        <f>IF(AND(D600&lt;&gt;"",E600&lt;&gt;""),((TIMEVALUE(E600)-TIMEVALUE(D600))*24*60),"")</f>
      </c>
      <c r="G600" s="10"/>
      <c r="H600" s="10"/>
      <c r="I600" s="10">
        <f>IF(G600="","Pending",IF(G600&gt;=J600,"Accepted",IF(G600&gt;=(J600-Configuration!$C$5),"Tolerance","Refusal")))</f>
      </c>
      <c r="J600" s="10">
        <f>IFERROR(VLOOKUP(B600,'Plot Plan'!$A:$D,4,FALSE),"")</f>
      </c>
      <c r="K600" s="10">
        <f>IFERROR(VLOOKUP(B600,'Plot Plan'!$A:$B,2,FALSE),"")</f>
      </c>
      <c r="L600" s="10">
        <f>IFERROR(VLOOKUP(B600,'Plot Plan'!$A:$C,3,FALSE),"")</f>
      </c>
    </row>
    <row r="601" spans="1:12" x14ac:dyDescent="0.25">
      <c r="A601" s="13"/>
      <c r="B601" s="11"/>
      <c r="C601" s="11"/>
      <c r="D601" s="11"/>
      <c r="E601" s="11"/>
      <c r="F601" s="11">
        <f>IF(AND(D601&lt;&gt;"",E601&lt;&gt;""),((TIMEVALUE(E601)-TIMEVALUE(D601))*24*60),"")</f>
      </c>
      <c r="G601" s="11"/>
      <c r="H601" s="11"/>
      <c r="I601" s="11">
        <f>IF(G601="","Pending",IF(G601&gt;=J601,"Accepted",IF(G601&gt;=(J601-Configuration!$C$5),"Tolerance","Refusal")))</f>
      </c>
      <c r="J601" s="11">
        <f>IFERROR(VLOOKUP(B601,'Plot Plan'!$A:$D,4,FALSE),"")</f>
      </c>
      <c r="K601" s="11">
        <f>IFERROR(VLOOKUP(B601,'Plot Plan'!$A:$B,2,FALSE),"")</f>
      </c>
      <c r="L601" s="11">
        <f>IFERROR(VLOOKUP(B601,'Plot Plan'!$A:$C,3,FALSE),"")</f>
      </c>
    </row>
    <row r="602" spans="1:12" s="8" customFormat="1" x14ac:dyDescent="0.25">
      <c r="A602" s="12"/>
      <c r="B602" s="10"/>
      <c r="C602" s="10"/>
      <c r="D602" s="10"/>
      <c r="E602" s="10"/>
      <c r="F602" s="10">
        <f>IF(AND(D602&lt;&gt;"",E602&lt;&gt;""),((TIMEVALUE(E602)-TIMEVALUE(D602))*24*60),"")</f>
      </c>
      <c r="G602" s="10"/>
      <c r="H602" s="10"/>
      <c r="I602" s="10">
        <f>IF(G602="","Pending",IF(G602&gt;=J602,"Accepted",IF(G602&gt;=(J602-Configuration!$C$5),"Tolerance","Refusal")))</f>
      </c>
      <c r="J602" s="10">
        <f>IFERROR(VLOOKUP(B602,'Plot Plan'!$A:$D,4,FALSE),"")</f>
      </c>
      <c r="K602" s="10">
        <f>IFERROR(VLOOKUP(B602,'Plot Plan'!$A:$B,2,FALSE),"")</f>
      </c>
      <c r="L602" s="10">
        <f>IFERROR(VLOOKUP(B602,'Plot Plan'!$A:$C,3,FALSE),"")</f>
      </c>
    </row>
    <row r="603" spans="1:12" x14ac:dyDescent="0.25">
      <c r="A603" s="13"/>
      <c r="B603" s="11"/>
      <c r="C603" s="11"/>
      <c r="D603" s="11"/>
      <c r="E603" s="11"/>
      <c r="F603" s="11">
        <f>IF(AND(D603&lt;&gt;"",E603&lt;&gt;""),((TIMEVALUE(E603)-TIMEVALUE(D603))*24*60),"")</f>
      </c>
      <c r="G603" s="11"/>
      <c r="H603" s="11"/>
      <c r="I603" s="11">
        <f>IF(G603="","Pending",IF(G603&gt;=J603,"Accepted",IF(G603&gt;=(J603-Configuration!$C$5),"Tolerance","Refusal")))</f>
      </c>
      <c r="J603" s="11">
        <f>IFERROR(VLOOKUP(B603,'Plot Plan'!$A:$D,4,FALSE),"")</f>
      </c>
      <c r="K603" s="11">
        <f>IFERROR(VLOOKUP(B603,'Plot Plan'!$A:$B,2,FALSE),"")</f>
      </c>
      <c r="L603" s="11">
        <f>IFERROR(VLOOKUP(B603,'Plot Plan'!$A:$C,3,FALSE),"")</f>
      </c>
    </row>
    <row r="604" spans="1:12" s="8" customFormat="1" x14ac:dyDescent="0.25">
      <c r="A604" s="12"/>
      <c r="B604" s="10"/>
      <c r="C604" s="10"/>
      <c r="D604" s="10"/>
      <c r="E604" s="10"/>
      <c r="F604" s="10">
        <f>IF(AND(D604&lt;&gt;"",E604&lt;&gt;""),((TIMEVALUE(E604)-TIMEVALUE(D604))*24*60),"")</f>
      </c>
      <c r="G604" s="10"/>
      <c r="H604" s="10"/>
      <c r="I604" s="10">
        <f>IF(G604="","Pending",IF(G604&gt;=J604,"Accepted",IF(G604&gt;=(J604-Configuration!$C$5),"Tolerance","Refusal")))</f>
      </c>
      <c r="J604" s="10">
        <f>IFERROR(VLOOKUP(B604,'Plot Plan'!$A:$D,4,FALSE),"")</f>
      </c>
      <c r="K604" s="10">
        <f>IFERROR(VLOOKUP(B604,'Plot Plan'!$A:$B,2,FALSE),"")</f>
      </c>
      <c r="L604" s="10">
        <f>IFERROR(VLOOKUP(B604,'Plot Plan'!$A:$C,3,FALSE),"")</f>
      </c>
    </row>
    <row r="605" spans="1:12" x14ac:dyDescent="0.25">
      <c r="A605" s="13"/>
      <c r="B605" s="11"/>
      <c r="C605" s="11"/>
      <c r="D605" s="11"/>
      <c r="E605" s="11"/>
      <c r="F605" s="11">
        <f>IF(AND(D605&lt;&gt;"",E605&lt;&gt;""),((TIMEVALUE(E605)-TIMEVALUE(D605))*24*60),"")</f>
      </c>
      <c r="G605" s="11"/>
      <c r="H605" s="11"/>
      <c r="I605" s="11">
        <f>IF(G605="","Pending",IF(G605&gt;=J605,"Accepted",IF(G605&gt;=(J605-Configuration!$C$5),"Tolerance","Refusal")))</f>
      </c>
      <c r="J605" s="11">
        <f>IFERROR(VLOOKUP(B605,'Plot Plan'!$A:$D,4,FALSE),"")</f>
      </c>
      <c r="K605" s="11">
        <f>IFERROR(VLOOKUP(B605,'Plot Plan'!$A:$B,2,FALSE),"")</f>
      </c>
      <c r="L605" s="11">
        <f>IFERROR(VLOOKUP(B605,'Plot Plan'!$A:$C,3,FALSE),"")</f>
      </c>
    </row>
    <row r="606" spans="1:12" s="8" customFormat="1" x14ac:dyDescent="0.25">
      <c r="A606" s="12"/>
      <c r="B606" s="10"/>
      <c r="C606" s="10"/>
      <c r="D606" s="10"/>
      <c r="E606" s="10"/>
      <c r="F606" s="10">
        <f>IF(AND(D606&lt;&gt;"",E606&lt;&gt;""),((TIMEVALUE(E606)-TIMEVALUE(D606))*24*60),"")</f>
      </c>
      <c r="G606" s="10"/>
      <c r="H606" s="10"/>
      <c r="I606" s="10">
        <f>IF(G606="","Pending",IF(G606&gt;=J606,"Accepted",IF(G606&gt;=(J606-Configuration!$C$5),"Tolerance","Refusal")))</f>
      </c>
      <c r="J606" s="10">
        <f>IFERROR(VLOOKUP(B606,'Plot Plan'!$A:$D,4,FALSE),"")</f>
      </c>
      <c r="K606" s="10">
        <f>IFERROR(VLOOKUP(B606,'Plot Plan'!$A:$B,2,FALSE),"")</f>
      </c>
      <c r="L606" s="10">
        <f>IFERROR(VLOOKUP(B606,'Plot Plan'!$A:$C,3,FALSE),"")</f>
      </c>
    </row>
    <row r="607" spans="1:12" x14ac:dyDescent="0.25">
      <c r="A607" s="13"/>
      <c r="B607" s="11"/>
      <c r="C607" s="11"/>
      <c r="D607" s="11"/>
      <c r="E607" s="11"/>
      <c r="F607" s="11">
        <f>IF(AND(D607&lt;&gt;"",E607&lt;&gt;""),((TIMEVALUE(E607)-TIMEVALUE(D607))*24*60),"")</f>
      </c>
      <c r="G607" s="11"/>
      <c r="H607" s="11"/>
      <c r="I607" s="11">
        <f>IF(G607="","Pending",IF(G607&gt;=J607,"Accepted",IF(G607&gt;=(J607-Configuration!$C$5),"Tolerance","Refusal")))</f>
      </c>
      <c r="J607" s="11">
        <f>IFERROR(VLOOKUP(B607,'Plot Plan'!$A:$D,4,FALSE),"")</f>
      </c>
      <c r="K607" s="11">
        <f>IFERROR(VLOOKUP(B607,'Plot Plan'!$A:$B,2,FALSE),"")</f>
      </c>
      <c r="L607" s="11">
        <f>IFERROR(VLOOKUP(B607,'Plot Plan'!$A:$C,3,FALSE),"")</f>
      </c>
    </row>
    <row r="608" spans="1:12" s="8" customFormat="1" x14ac:dyDescent="0.25">
      <c r="A608" s="12"/>
      <c r="B608" s="10"/>
      <c r="C608" s="10"/>
      <c r="D608" s="10"/>
      <c r="E608" s="10"/>
      <c r="F608" s="10">
        <f>IF(AND(D608&lt;&gt;"",E608&lt;&gt;""),((TIMEVALUE(E608)-TIMEVALUE(D608))*24*60),"")</f>
      </c>
      <c r="G608" s="10"/>
      <c r="H608" s="10"/>
      <c r="I608" s="10">
        <f>IF(G608="","Pending",IF(G608&gt;=J608,"Accepted",IF(G608&gt;=(J608-Configuration!$C$5),"Tolerance","Refusal")))</f>
      </c>
      <c r="J608" s="10">
        <f>IFERROR(VLOOKUP(B608,'Plot Plan'!$A:$D,4,FALSE),"")</f>
      </c>
      <c r="K608" s="10">
        <f>IFERROR(VLOOKUP(B608,'Plot Plan'!$A:$B,2,FALSE),"")</f>
      </c>
      <c r="L608" s="10">
        <f>IFERROR(VLOOKUP(B608,'Plot Plan'!$A:$C,3,FALSE),"")</f>
      </c>
    </row>
    <row r="609" spans="1:12" x14ac:dyDescent="0.25">
      <c r="A609" s="13"/>
      <c r="B609" s="11"/>
      <c r="C609" s="11"/>
      <c r="D609" s="11"/>
      <c r="E609" s="11"/>
      <c r="F609" s="11">
        <f>IF(AND(D609&lt;&gt;"",E609&lt;&gt;""),((TIMEVALUE(E609)-TIMEVALUE(D609))*24*60),"")</f>
      </c>
      <c r="G609" s="11"/>
      <c r="H609" s="11"/>
      <c r="I609" s="11">
        <f>IF(G609="","Pending",IF(G609&gt;=J609,"Accepted",IF(G609&gt;=(J609-Configuration!$C$5),"Tolerance","Refusal")))</f>
      </c>
      <c r="J609" s="11">
        <f>IFERROR(VLOOKUP(B609,'Plot Plan'!$A:$D,4,FALSE),"")</f>
      </c>
      <c r="K609" s="11">
        <f>IFERROR(VLOOKUP(B609,'Plot Plan'!$A:$B,2,FALSE),"")</f>
      </c>
      <c r="L609" s="11">
        <f>IFERROR(VLOOKUP(B609,'Plot Plan'!$A:$C,3,FALSE),"")</f>
      </c>
    </row>
    <row r="610" spans="1:12" s="8" customFormat="1" x14ac:dyDescent="0.25">
      <c r="A610" s="12"/>
      <c r="B610" s="10"/>
      <c r="C610" s="10"/>
      <c r="D610" s="10"/>
      <c r="E610" s="10"/>
      <c r="F610" s="10">
        <f>IF(AND(D610&lt;&gt;"",E610&lt;&gt;""),((TIMEVALUE(E610)-TIMEVALUE(D610))*24*60),"")</f>
      </c>
      <c r="G610" s="10"/>
      <c r="H610" s="10"/>
      <c r="I610" s="10">
        <f>IF(G610="","Pending",IF(G610&gt;=J610,"Accepted",IF(G610&gt;=(J610-Configuration!$C$5),"Tolerance","Refusal")))</f>
      </c>
      <c r="J610" s="10">
        <f>IFERROR(VLOOKUP(B610,'Plot Plan'!$A:$D,4,FALSE),"")</f>
      </c>
      <c r="K610" s="10">
        <f>IFERROR(VLOOKUP(B610,'Plot Plan'!$A:$B,2,FALSE),"")</f>
      </c>
      <c r="L610" s="10">
        <f>IFERROR(VLOOKUP(B610,'Plot Plan'!$A:$C,3,FALSE),"")</f>
      </c>
    </row>
    <row r="611" spans="1:12" x14ac:dyDescent="0.25">
      <c r="A611" s="13"/>
      <c r="B611" s="11"/>
      <c r="C611" s="11"/>
      <c r="D611" s="11"/>
      <c r="E611" s="11"/>
      <c r="F611" s="11">
        <f>IF(AND(D611&lt;&gt;"",E611&lt;&gt;""),((TIMEVALUE(E611)-TIMEVALUE(D611))*24*60),"")</f>
      </c>
      <c r="G611" s="11"/>
      <c r="H611" s="11"/>
      <c r="I611" s="11">
        <f>IF(G611="","Pending",IF(G611&gt;=J611,"Accepted",IF(G611&gt;=(J611-Configuration!$C$5),"Tolerance","Refusal")))</f>
      </c>
      <c r="J611" s="11">
        <f>IFERROR(VLOOKUP(B611,'Plot Plan'!$A:$D,4,FALSE),"")</f>
      </c>
      <c r="K611" s="11">
        <f>IFERROR(VLOOKUP(B611,'Plot Plan'!$A:$B,2,FALSE),"")</f>
      </c>
      <c r="L611" s="11">
        <f>IFERROR(VLOOKUP(B611,'Plot Plan'!$A:$C,3,FALSE),"")</f>
      </c>
    </row>
    <row r="612" spans="1:12" s="8" customFormat="1" x14ac:dyDescent="0.25">
      <c r="A612" s="12"/>
      <c r="B612" s="10"/>
      <c r="C612" s="10"/>
      <c r="D612" s="10"/>
      <c r="E612" s="10"/>
      <c r="F612" s="10">
        <f>IF(AND(D612&lt;&gt;"",E612&lt;&gt;""),((TIMEVALUE(E612)-TIMEVALUE(D612))*24*60),"")</f>
      </c>
      <c r="G612" s="10"/>
      <c r="H612" s="10"/>
      <c r="I612" s="10">
        <f>IF(G612="","Pending",IF(G612&gt;=J612,"Accepted",IF(G612&gt;=(J612-Configuration!$C$5),"Tolerance","Refusal")))</f>
      </c>
      <c r="J612" s="10">
        <f>IFERROR(VLOOKUP(B612,'Plot Plan'!$A:$D,4,FALSE),"")</f>
      </c>
      <c r="K612" s="10">
        <f>IFERROR(VLOOKUP(B612,'Plot Plan'!$A:$B,2,FALSE),"")</f>
      </c>
      <c r="L612" s="10">
        <f>IFERROR(VLOOKUP(B612,'Plot Plan'!$A:$C,3,FALSE),"")</f>
      </c>
    </row>
    <row r="613" spans="1:12" x14ac:dyDescent="0.25">
      <c r="A613" s="13"/>
      <c r="B613" s="11"/>
      <c r="C613" s="11"/>
      <c r="D613" s="11"/>
      <c r="E613" s="11"/>
      <c r="F613" s="11">
        <f>IF(AND(D613&lt;&gt;"",E613&lt;&gt;""),((TIMEVALUE(E613)-TIMEVALUE(D613))*24*60),"")</f>
      </c>
      <c r="G613" s="11"/>
      <c r="H613" s="11"/>
      <c r="I613" s="11">
        <f>IF(G613="","Pending",IF(G613&gt;=J613,"Accepted",IF(G613&gt;=(J613-Configuration!$C$5),"Tolerance","Refusal")))</f>
      </c>
      <c r="J613" s="11">
        <f>IFERROR(VLOOKUP(B613,'Plot Plan'!$A:$D,4,FALSE),"")</f>
      </c>
      <c r="K613" s="11">
        <f>IFERROR(VLOOKUP(B613,'Plot Plan'!$A:$B,2,FALSE),"")</f>
      </c>
      <c r="L613" s="11">
        <f>IFERROR(VLOOKUP(B613,'Plot Plan'!$A:$C,3,FALSE),"")</f>
      </c>
    </row>
    <row r="614" spans="1:12" s="8" customFormat="1" x14ac:dyDescent="0.25">
      <c r="A614" s="12"/>
      <c r="B614" s="10"/>
      <c r="C614" s="10"/>
      <c r="D614" s="10"/>
      <c r="E614" s="10"/>
      <c r="F614" s="10">
        <f>IF(AND(D614&lt;&gt;"",E614&lt;&gt;""),((TIMEVALUE(E614)-TIMEVALUE(D614))*24*60),"")</f>
      </c>
      <c r="G614" s="10"/>
      <c r="H614" s="10"/>
      <c r="I614" s="10">
        <f>IF(G614="","Pending",IF(G614&gt;=J614,"Accepted",IF(G614&gt;=(J614-Configuration!$C$5),"Tolerance","Refusal")))</f>
      </c>
      <c r="J614" s="10">
        <f>IFERROR(VLOOKUP(B614,'Plot Plan'!$A:$D,4,FALSE),"")</f>
      </c>
      <c r="K614" s="10">
        <f>IFERROR(VLOOKUP(B614,'Plot Plan'!$A:$B,2,FALSE),"")</f>
      </c>
      <c r="L614" s="10">
        <f>IFERROR(VLOOKUP(B614,'Plot Plan'!$A:$C,3,FALSE),"")</f>
      </c>
    </row>
    <row r="615" spans="1:12" x14ac:dyDescent="0.25">
      <c r="A615" s="13"/>
      <c r="B615" s="11"/>
      <c r="C615" s="11"/>
      <c r="D615" s="11"/>
      <c r="E615" s="11"/>
      <c r="F615" s="11">
        <f>IF(AND(D615&lt;&gt;"",E615&lt;&gt;""),((TIMEVALUE(E615)-TIMEVALUE(D615))*24*60),"")</f>
      </c>
      <c r="G615" s="11"/>
      <c r="H615" s="11"/>
      <c r="I615" s="11">
        <f>IF(G615="","Pending",IF(G615&gt;=J615,"Accepted",IF(G615&gt;=(J615-Configuration!$C$5),"Tolerance","Refusal")))</f>
      </c>
      <c r="J615" s="11">
        <f>IFERROR(VLOOKUP(B615,'Plot Plan'!$A:$D,4,FALSE),"")</f>
      </c>
      <c r="K615" s="11">
        <f>IFERROR(VLOOKUP(B615,'Plot Plan'!$A:$B,2,FALSE),"")</f>
      </c>
      <c r="L615" s="11">
        <f>IFERROR(VLOOKUP(B615,'Plot Plan'!$A:$C,3,FALSE),"")</f>
      </c>
    </row>
    <row r="616" spans="1:12" s="8" customFormat="1" x14ac:dyDescent="0.25">
      <c r="A616" s="12"/>
      <c r="B616" s="10"/>
      <c r="C616" s="10"/>
      <c r="D616" s="10"/>
      <c r="E616" s="10"/>
      <c r="F616" s="10">
        <f>IF(AND(D616&lt;&gt;"",E616&lt;&gt;""),((TIMEVALUE(E616)-TIMEVALUE(D616))*24*60),"")</f>
      </c>
      <c r="G616" s="10"/>
      <c r="H616" s="10"/>
      <c r="I616" s="10">
        <f>IF(G616="","Pending",IF(G616&gt;=J616,"Accepted",IF(G616&gt;=(J616-Configuration!$C$5),"Tolerance","Refusal")))</f>
      </c>
      <c r="J616" s="10">
        <f>IFERROR(VLOOKUP(B616,'Plot Plan'!$A:$D,4,FALSE),"")</f>
      </c>
      <c r="K616" s="10">
        <f>IFERROR(VLOOKUP(B616,'Plot Plan'!$A:$B,2,FALSE),"")</f>
      </c>
      <c r="L616" s="10">
        <f>IFERROR(VLOOKUP(B616,'Plot Plan'!$A:$C,3,FALSE),"")</f>
      </c>
    </row>
    <row r="617" spans="1:12" x14ac:dyDescent="0.25">
      <c r="A617" s="13"/>
      <c r="B617" s="11"/>
      <c r="C617" s="11"/>
      <c r="D617" s="11"/>
      <c r="E617" s="11"/>
      <c r="F617" s="11">
        <f>IF(AND(D617&lt;&gt;"",E617&lt;&gt;""),((TIMEVALUE(E617)-TIMEVALUE(D617))*24*60),"")</f>
      </c>
      <c r="G617" s="11"/>
      <c r="H617" s="11"/>
      <c r="I617" s="11">
        <f>IF(G617="","Pending",IF(G617&gt;=J617,"Accepted",IF(G617&gt;=(J617-Configuration!$C$5),"Tolerance","Refusal")))</f>
      </c>
      <c r="J617" s="11">
        <f>IFERROR(VLOOKUP(B617,'Plot Plan'!$A:$D,4,FALSE),"")</f>
      </c>
      <c r="K617" s="11">
        <f>IFERROR(VLOOKUP(B617,'Plot Plan'!$A:$B,2,FALSE),"")</f>
      </c>
      <c r="L617" s="11">
        <f>IFERROR(VLOOKUP(B617,'Plot Plan'!$A:$C,3,FALSE),"")</f>
      </c>
    </row>
    <row r="618" spans="1:12" s="8" customFormat="1" x14ac:dyDescent="0.25">
      <c r="A618" s="12"/>
      <c r="B618" s="10"/>
      <c r="C618" s="10"/>
      <c r="D618" s="10"/>
      <c r="E618" s="10"/>
      <c r="F618" s="10">
        <f>IF(AND(D618&lt;&gt;"",E618&lt;&gt;""),((TIMEVALUE(E618)-TIMEVALUE(D618))*24*60),"")</f>
      </c>
      <c r="G618" s="10"/>
      <c r="H618" s="10"/>
      <c r="I618" s="10">
        <f>IF(G618="","Pending",IF(G618&gt;=J618,"Accepted",IF(G618&gt;=(J618-Configuration!$C$5),"Tolerance","Refusal")))</f>
      </c>
      <c r="J618" s="10">
        <f>IFERROR(VLOOKUP(B618,'Plot Plan'!$A:$D,4,FALSE),"")</f>
      </c>
      <c r="K618" s="10">
        <f>IFERROR(VLOOKUP(B618,'Plot Plan'!$A:$B,2,FALSE),"")</f>
      </c>
      <c r="L618" s="10">
        <f>IFERROR(VLOOKUP(B618,'Plot Plan'!$A:$C,3,FALSE),"")</f>
      </c>
    </row>
    <row r="619" spans="1:12" x14ac:dyDescent="0.25">
      <c r="A619" s="13"/>
      <c r="B619" s="11"/>
      <c r="C619" s="11"/>
      <c r="D619" s="11"/>
      <c r="E619" s="11"/>
      <c r="F619" s="11">
        <f>IF(AND(D619&lt;&gt;"",E619&lt;&gt;""),((TIMEVALUE(E619)-TIMEVALUE(D619))*24*60),"")</f>
      </c>
      <c r="G619" s="11"/>
      <c r="H619" s="11"/>
      <c r="I619" s="11">
        <f>IF(G619="","Pending",IF(G619&gt;=J619,"Accepted",IF(G619&gt;=(J619-Configuration!$C$5),"Tolerance","Refusal")))</f>
      </c>
      <c r="J619" s="11">
        <f>IFERROR(VLOOKUP(B619,'Plot Plan'!$A:$D,4,FALSE),"")</f>
      </c>
      <c r="K619" s="11">
        <f>IFERROR(VLOOKUP(B619,'Plot Plan'!$A:$B,2,FALSE),"")</f>
      </c>
      <c r="L619" s="11">
        <f>IFERROR(VLOOKUP(B619,'Plot Plan'!$A:$C,3,FALSE),"")</f>
      </c>
    </row>
    <row r="620" spans="1:12" s="8" customFormat="1" x14ac:dyDescent="0.25">
      <c r="A620" s="12"/>
      <c r="B620" s="10"/>
      <c r="C620" s="10"/>
      <c r="D620" s="10"/>
      <c r="E620" s="10"/>
      <c r="F620" s="10">
        <f>IF(AND(D620&lt;&gt;"",E620&lt;&gt;""),((TIMEVALUE(E620)-TIMEVALUE(D620))*24*60),"")</f>
      </c>
      <c r="G620" s="10"/>
      <c r="H620" s="10"/>
      <c r="I620" s="10">
        <f>IF(G620="","Pending",IF(G620&gt;=J620,"Accepted",IF(G620&gt;=(J620-Configuration!$C$5),"Tolerance","Refusal")))</f>
      </c>
      <c r="J620" s="10">
        <f>IFERROR(VLOOKUP(B620,'Plot Plan'!$A:$D,4,FALSE),"")</f>
      </c>
      <c r="K620" s="10">
        <f>IFERROR(VLOOKUP(B620,'Plot Plan'!$A:$B,2,FALSE),"")</f>
      </c>
      <c r="L620" s="10">
        <f>IFERROR(VLOOKUP(B620,'Plot Plan'!$A:$C,3,FALSE),"")</f>
      </c>
    </row>
    <row r="621" spans="1:12" x14ac:dyDescent="0.25">
      <c r="A621" s="13"/>
      <c r="B621" s="11"/>
      <c r="C621" s="11"/>
      <c r="D621" s="11"/>
      <c r="E621" s="11"/>
      <c r="F621" s="11">
        <f>IF(AND(D621&lt;&gt;"",E621&lt;&gt;""),((TIMEVALUE(E621)-TIMEVALUE(D621))*24*60),"")</f>
      </c>
      <c r="G621" s="11"/>
      <c r="H621" s="11"/>
      <c r="I621" s="11">
        <f>IF(G621="","Pending",IF(G621&gt;=J621,"Accepted",IF(G621&gt;=(J621-Configuration!$C$5),"Tolerance","Refusal")))</f>
      </c>
      <c r="J621" s="11">
        <f>IFERROR(VLOOKUP(B621,'Plot Plan'!$A:$D,4,FALSE),"")</f>
      </c>
      <c r="K621" s="11">
        <f>IFERROR(VLOOKUP(B621,'Plot Plan'!$A:$B,2,FALSE),"")</f>
      </c>
      <c r="L621" s="11">
        <f>IFERROR(VLOOKUP(B621,'Plot Plan'!$A:$C,3,FALSE),"")</f>
      </c>
    </row>
    <row r="622" spans="1:12" s="8" customFormat="1" x14ac:dyDescent="0.25">
      <c r="A622" s="12"/>
      <c r="B622" s="10"/>
      <c r="C622" s="10"/>
      <c r="D622" s="10"/>
      <c r="E622" s="10"/>
      <c r="F622" s="10">
        <f>IF(AND(D622&lt;&gt;"",E622&lt;&gt;""),((TIMEVALUE(E622)-TIMEVALUE(D622))*24*60),"")</f>
      </c>
      <c r="G622" s="10"/>
      <c r="H622" s="10"/>
      <c r="I622" s="10">
        <f>IF(G622="","Pending",IF(G622&gt;=J622,"Accepted",IF(G622&gt;=(J622-Configuration!$C$5),"Tolerance","Refusal")))</f>
      </c>
      <c r="J622" s="10">
        <f>IFERROR(VLOOKUP(B622,'Plot Plan'!$A:$D,4,FALSE),"")</f>
      </c>
      <c r="K622" s="10">
        <f>IFERROR(VLOOKUP(B622,'Plot Plan'!$A:$B,2,FALSE),"")</f>
      </c>
      <c r="L622" s="10">
        <f>IFERROR(VLOOKUP(B622,'Plot Plan'!$A:$C,3,FALSE),"")</f>
      </c>
    </row>
    <row r="623" spans="1:12" x14ac:dyDescent="0.25">
      <c r="A623" s="13"/>
      <c r="B623" s="11"/>
      <c r="C623" s="11"/>
      <c r="D623" s="11"/>
      <c r="E623" s="11"/>
      <c r="F623" s="11">
        <f>IF(AND(D623&lt;&gt;"",E623&lt;&gt;""),((TIMEVALUE(E623)-TIMEVALUE(D623))*24*60),"")</f>
      </c>
      <c r="G623" s="11"/>
      <c r="H623" s="11"/>
      <c r="I623" s="11">
        <f>IF(G623="","Pending",IF(G623&gt;=J623,"Accepted",IF(G623&gt;=(J623-Configuration!$C$5),"Tolerance","Refusal")))</f>
      </c>
      <c r="J623" s="11">
        <f>IFERROR(VLOOKUP(B623,'Plot Plan'!$A:$D,4,FALSE),"")</f>
      </c>
      <c r="K623" s="11">
        <f>IFERROR(VLOOKUP(B623,'Plot Plan'!$A:$B,2,FALSE),"")</f>
      </c>
      <c r="L623" s="11">
        <f>IFERROR(VLOOKUP(B623,'Plot Plan'!$A:$C,3,FALSE),"")</f>
      </c>
    </row>
    <row r="624" spans="1:12" s="8" customFormat="1" x14ac:dyDescent="0.25">
      <c r="A624" s="12"/>
      <c r="B624" s="10"/>
      <c r="C624" s="10"/>
      <c r="D624" s="10"/>
      <c r="E624" s="10"/>
      <c r="F624" s="10">
        <f>IF(AND(D624&lt;&gt;"",E624&lt;&gt;""),((TIMEVALUE(E624)-TIMEVALUE(D624))*24*60),"")</f>
      </c>
      <c r="G624" s="10"/>
      <c r="H624" s="10"/>
      <c r="I624" s="10">
        <f>IF(G624="","Pending",IF(G624&gt;=J624,"Accepted",IF(G624&gt;=(J624-Configuration!$C$5),"Tolerance","Refusal")))</f>
      </c>
      <c r="J624" s="10">
        <f>IFERROR(VLOOKUP(B624,'Plot Plan'!$A:$D,4,FALSE),"")</f>
      </c>
      <c r="K624" s="10">
        <f>IFERROR(VLOOKUP(B624,'Plot Plan'!$A:$B,2,FALSE),"")</f>
      </c>
      <c r="L624" s="10">
        <f>IFERROR(VLOOKUP(B624,'Plot Plan'!$A:$C,3,FALSE),"")</f>
      </c>
    </row>
    <row r="625" spans="1:12" x14ac:dyDescent="0.25">
      <c r="A625" s="13"/>
      <c r="B625" s="11"/>
      <c r="C625" s="11"/>
      <c r="D625" s="11"/>
      <c r="E625" s="11"/>
      <c r="F625" s="11">
        <f>IF(AND(D625&lt;&gt;"",E625&lt;&gt;""),((TIMEVALUE(E625)-TIMEVALUE(D625))*24*60),"")</f>
      </c>
      <c r="G625" s="11"/>
      <c r="H625" s="11"/>
      <c r="I625" s="11">
        <f>IF(G625="","Pending",IF(G625&gt;=J625,"Accepted",IF(G625&gt;=(J625-Configuration!$C$5),"Tolerance","Refusal")))</f>
      </c>
      <c r="J625" s="11">
        <f>IFERROR(VLOOKUP(B625,'Plot Plan'!$A:$D,4,FALSE),"")</f>
      </c>
      <c r="K625" s="11">
        <f>IFERROR(VLOOKUP(B625,'Plot Plan'!$A:$B,2,FALSE),"")</f>
      </c>
      <c r="L625" s="11">
        <f>IFERROR(VLOOKUP(B625,'Plot Plan'!$A:$C,3,FALSE),"")</f>
      </c>
    </row>
    <row r="626" spans="1:12" s="8" customFormat="1" x14ac:dyDescent="0.25">
      <c r="A626" s="12"/>
      <c r="B626" s="10"/>
      <c r="C626" s="10"/>
      <c r="D626" s="10"/>
      <c r="E626" s="10"/>
      <c r="F626" s="10">
        <f>IF(AND(D626&lt;&gt;"",E626&lt;&gt;""),((TIMEVALUE(E626)-TIMEVALUE(D626))*24*60),"")</f>
      </c>
      <c r="G626" s="10"/>
      <c r="H626" s="10"/>
      <c r="I626" s="10">
        <f>IF(G626="","Pending",IF(G626&gt;=J626,"Accepted",IF(G626&gt;=(J626-Configuration!$C$5),"Tolerance","Refusal")))</f>
      </c>
      <c r="J626" s="10">
        <f>IFERROR(VLOOKUP(B626,'Plot Plan'!$A:$D,4,FALSE),"")</f>
      </c>
      <c r="K626" s="10">
        <f>IFERROR(VLOOKUP(B626,'Plot Plan'!$A:$B,2,FALSE),"")</f>
      </c>
      <c r="L626" s="10">
        <f>IFERROR(VLOOKUP(B626,'Plot Plan'!$A:$C,3,FALSE),"")</f>
      </c>
    </row>
    <row r="627" spans="1:12" x14ac:dyDescent="0.25">
      <c r="A627" s="13"/>
      <c r="B627" s="11"/>
      <c r="C627" s="11"/>
      <c r="D627" s="11"/>
      <c r="E627" s="11"/>
      <c r="F627" s="11">
        <f>IF(AND(D627&lt;&gt;"",E627&lt;&gt;""),((TIMEVALUE(E627)-TIMEVALUE(D627))*24*60),"")</f>
      </c>
      <c r="G627" s="11"/>
      <c r="H627" s="11"/>
      <c r="I627" s="11">
        <f>IF(G627="","Pending",IF(G627&gt;=J627,"Accepted",IF(G627&gt;=(J627-Configuration!$C$5),"Tolerance","Refusal")))</f>
      </c>
      <c r="J627" s="11">
        <f>IFERROR(VLOOKUP(B627,'Plot Plan'!$A:$D,4,FALSE),"")</f>
      </c>
      <c r="K627" s="11">
        <f>IFERROR(VLOOKUP(B627,'Plot Plan'!$A:$B,2,FALSE),"")</f>
      </c>
      <c r="L627" s="11">
        <f>IFERROR(VLOOKUP(B627,'Plot Plan'!$A:$C,3,FALSE),"")</f>
      </c>
    </row>
    <row r="628" spans="1:12" s="8" customFormat="1" x14ac:dyDescent="0.25">
      <c r="A628" s="12"/>
      <c r="B628" s="10"/>
      <c r="C628" s="10"/>
      <c r="D628" s="10"/>
      <c r="E628" s="10"/>
      <c r="F628" s="10">
        <f>IF(AND(D628&lt;&gt;"",E628&lt;&gt;""),((TIMEVALUE(E628)-TIMEVALUE(D628))*24*60),"")</f>
      </c>
      <c r="G628" s="10"/>
      <c r="H628" s="10"/>
      <c r="I628" s="10">
        <f>IF(G628="","Pending",IF(G628&gt;=J628,"Accepted",IF(G628&gt;=(J628-Configuration!$C$5),"Tolerance","Refusal")))</f>
      </c>
      <c r="J628" s="10">
        <f>IFERROR(VLOOKUP(B628,'Plot Plan'!$A:$D,4,FALSE),"")</f>
      </c>
      <c r="K628" s="10">
        <f>IFERROR(VLOOKUP(B628,'Plot Plan'!$A:$B,2,FALSE),"")</f>
      </c>
      <c r="L628" s="10">
        <f>IFERROR(VLOOKUP(B628,'Plot Plan'!$A:$C,3,FALSE),"")</f>
      </c>
    </row>
    <row r="629" spans="1:12" x14ac:dyDescent="0.25">
      <c r="A629" s="13"/>
      <c r="B629" s="11"/>
      <c r="C629" s="11"/>
      <c r="D629" s="11"/>
      <c r="E629" s="11"/>
      <c r="F629" s="11">
        <f>IF(AND(D629&lt;&gt;"",E629&lt;&gt;""),((TIMEVALUE(E629)-TIMEVALUE(D629))*24*60),"")</f>
      </c>
      <c r="G629" s="11"/>
      <c r="H629" s="11"/>
      <c r="I629" s="11">
        <f>IF(G629="","Pending",IF(G629&gt;=J629,"Accepted",IF(G629&gt;=(J629-Configuration!$C$5),"Tolerance","Refusal")))</f>
      </c>
      <c r="J629" s="11">
        <f>IFERROR(VLOOKUP(B629,'Plot Plan'!$A:$D,4,FALSE),"")</f>
      </c>
      <c r="K629" s="11">
        <f>IFERROR(VLOOKUP(B629,'Plot Plan'!$A:$B,2,FALSE),"")</f>
      </c>
      <c r="L629" s="11">
        <f>IFERROR(VLOOKUP(B629,'Plot Plan'!$A:$C,3,FALSE),"")</f>
      </c>
    </row>
    <row r="630" spans="1:12" s="8" customFormat="1" x14ac:dyDescent="0.25">
      <c r="A630" s="12"/>
      <c r="B630" s="10"/>
      <c r="C630" s="10"/>
      <c r="D630" s="10"/>
      <c r="E630" s="10"/>
      <c r="F630" s="10">
        <f>IF(AND(D630&lt;&gt;"",E630&lt;&gt;""),((TIMEVALUE(E630)-TIMEVALUE(D630))*24*60),"")</f>
      </c>
      <c r="G630" s="10"/>
      <c r="H630" s="10"/>
      <c r="I630" s="10">
        <f>IF(G630="","Pending",IF(G630&gt;=J630,"Accepted",IF(G630&gt;=(J630-Configuration!$C$5),"Tolerance","Refusal")))</f>
      </c>
      <c r="J630" s="10">
        <f>IFERROR(VLOOKUP(B630,'Plot Plan'!$A:$D,4,FALSE),"")</f>
      </c>
      <c r="K630" s="10">
        <f>IFERROR(VLOOKUP(B630,'Plot Plan'!$A:$B,2,FALSE),"")</f>
      </c>
      <c r="L630" s="10">
        <f>IFERROR(VLOOKUP(B630,'Plot Plan'!$A:$C,3,FALSE),"")</f>
      </c>
    </row>
    <row r="631" spans="1:12" x14ac:dyDescent="0.25">
      <c r="A631" s="13"/>
      <c r="B631" s="11"/>
      <c r="C631" s="11"/>
      <c r="D631" s="11"/>
      <c r="E631" s="11"/>
      <c r="F631" s="11">
        <f>IF(AND(D631&lt;&gt;"",E631&lt;&gt;""),((TIMEVALUE(E631)-TIMEVALUE(D631))*24*60),"")</f>
      </c>
      <c r="G631" s="11"/>
      <c r="H631" s="11"/>
      <c r="I631" s="11">
        <f>IF(G631="","Pending",IF(G631&gt;=J631,"Accepted",IF(G631&gt;=(J631-Configuration!$C$5),"Tolerance","Refusal")))</f>
      </c>
      <c r="J631" s="11">
        <f>IFERROR(VLOOKUP(B631,'Plot Plan'!$A:$D,4,FALSE),"")</f>
      </c>
      <c r="K631" s="11">
        <f>IFERROR(VLOOKUP(B631,'Plot Plan'!$A:$B,2,FALSE),"")</f>
      </c>
      <c r="L631" s="11">
        <f>IFERROR(VLOOKUP(B631,'Plot Plan'!$A:$C,3,FALSE),"")</f>
      </c>
    </row>
    <row r="632" spans="1:12" s="8" customFormat="1" x14ac:dyDescent="0.25">
      <c r="A632" s="12"/>
      <c r="B632" s="10"/>
      <c r="C632" s="10"/>
      <c r="D632" s="10"/>
      <c r="E632" s="10"/>
      <c r="F632" s="10">
        <f>IF(AND(D632&lt;&gt;"",E632&lt;&gt;""),((TIMEVALUE(E632)-TIMEVALUE(D632))*24*60),"")</f>
      </c>
      <c r="G632" s="10"/>
      <c r="H632" s="10"/>
      <c r="I632" s="10">
        <f>IF(G632="","Pending",IF(G632&gt;=J632,"Accepted",IF(G632&gt;=(J632-Configuration!$C$5),"Tolerance","Refusal")))</f>
      </c>
      <c r="J632" s="10">
        <f>IFERROR(VLOOKUP(B632,'Plot Plan'!$A:$D,4,FALSE),"")</f>
      </c>
      <c r="K632" s="10">
        <f>IFERROR(VLOOKUP(B632,'Plot Plan'!$A:$B,2,FALSE),"")</f>
      </c>
      <c r="L632" s="10">
        <f>IFERROR(VLOOKUP(B632,'Plot Plan'!$A:$C,3,FALSE),"")</f>
      </c>
    </row>
    <row r="633" spans="1:12" x14ac:dyDescent="0.25">
      <c r="A633" s="13"/>
      <c r="B633" s="11"/>
      <c r="C633" s="11"/>
      <c r="D633" s="11"/>
      <c r="E633" s="11"/>
      <c r="F633" s="11">
        <f>IF(AND(D633&lt;&gt;"",E633&lt;&gt;""),((TIMEVALUE(E633)-TIMEVALUE(D633))*24*60),"")</f>
      </c>
      <c r="G633" s="11"/>
      <c r="H633" s="11"/>
      <c r="I633" s="11">
        <f>IF(G633="","Pending",IF(G633&gt;=J633,"Accepted",IF(G633&gt;=(J633-Configuration!$C$5),"Tolerance","Refusal")))</f>
      </c>
      <c r="J633" s="11">
        <f>IFERROR(VLOOKUP(B633,'Plot Plan'!$A:$D,4,FALSE),"")</f>
      </c>
      <c r="K633" s="11">
        <f>IFERROR(VLOOKUP(B633,'Plot Plan'!$A:$B,2,FALSE),"")</f>
      </c>
      <c r="L633" s="11">
        <f>IFERROR(VLOOKUP(B633,'Plot Plan'!$A:$C,3,FALSE),"")</f>
      </c>
    </row>
    <row r="634" spans="1:12" s="8" customFormat="1" x14ac:dyDescent="0.25">
      <c r="A634" s="12"/>
      <c r="B634" s="10"/>
      <c r="C634" s="10"/>
      <c r="D634" s="10"/>
      <c r="E634" s="10"/>
      <c r="F634" s="10">
        <f>IF(AND(D634&lt;&gt;"",E634&lt;&gt;""),((TIMEVALUE(E634)-TIMEVALUE(D634))*24*60),"")</f>
      </c>
      <c r="G634" s="10"/>
      <c r="H634" s="10"/>
      <c r="I634" s="10">
        <f>IF(G634="","Pending",IF(G634&gt;=J634,"Accepted",IF(G634&gt;=(J634-Configuration!$C$5),"Tolerance","Refusal")))</f>
      </c>
      <c r="J634" s="10">
        <f>IFERROR(VLOOKUP(B634,'Plot Plan'!$A:$D,4,FALSE),"")</f>
      </c>
      <c r="K634" s="10">
        <f>IFERROR(VLOOKUP(B634,'Plot Plan'!$A:$B,2,FALSE),"")</f>
      </c>
      <c r="L634" s="10">
        <f>IFERROR(VLOOKUP(B634,'Plot Plan'!$A:$C,3,FALSE),"")</f>
      </c>
    </row>
    <row r="635" spans="1:12" x14ac:dyDescent="0.25">
      <c r="A635" s="13"/>
      <c r="B635" s="11"/>
      <c r="C635" s="11"/>
      <c r="D635" s="11"/>
      <c r="E635" s="11"/>
      <c r="F635" s="11">
        <f>IF(AND(D635&lt;&gt;"",E635&lt;&gt;""),((TIMEVALUE(E635)-TIMEVALUE(D635))*24*60),"")</f>
      </c>
      <c r="G635" s="11"/>
      <c r="H635" s="11"/>
      <c r="I635" s="11">
        <f>IF(G635="","Pending",IF(G635&gt;=J635,"Accepted",IF(G635&gt;=(J635-Configuration!$C$5),"Tolerance","Refusal")))</f>
      </c>
      <c r="J635" s="11">
        <f>IFERROR(VLOOKUP(B635,'Plot Plan'!$A:$D,4,FALSE),"")</f>
      </c>
      <c r="K635" s="11">
        <f>IFERROR(VLOOKUP(B635,'Plot Plan'!$A:$B,2,FALSE),"")</f>
      </c>
      <c r="L635" s="11">
        <f>IFERROR(VLOOKUP(B635,'Plot Plan'!$A:$C,3,FALSE),"")</f>
      </c>
    </row>
    <row r="636" spans="1:12" s="8" customFormat="1" x14ac:dyDescent="0.25">
      <c r="A636" s="12"/>
      <c r="B636" s="10"/>
      <c r="C636" s="10"/>
      <c r="D636" s="10"/>
      <c r="E636" s="10"/>
      <c r="F636" s="10">
        <f>IF(AND(D636&lt;&gt;"",E636&lt;&gt;""),((TIMEVALUE(E636)-TIMEVALUE(D636))*24*60),"")</f>
      </c>
      <c r="G636" s="10"/>
      <c r="H636" s="10"/>
      <c r="I636" s="10">
        <f>IF(G636="","Pending",IF(G636&gt;=J636,"Accepted",IF(G636&gt;=(J636-Configuration!$C$5),"Tolerance","Refusal")))</f>
      </c>
      <c r="J636" s="10">
        <f>IFERROR(VLOOKUP(B636,'Plot Plan'!$A:$D,4,FALSE),"")</f>
      </c>
      <c r="K636" s="10">
        <f>IFERROR(VLOOKUP(B636,'Plot Plan'!$A:$B,2,FALSE),"")</f>
      </c>
      <c r="L636" s="10">
        <f>IFERROR(VLOOKUP(B636,'Plot Plan'!$A:$C,3,FALSE),"")</f>
      </c>
    </row>
    <row r="637" spans="1:12" x14ac:dyDescent="0.25">
      <c r="A637" s="13"/>
      <c r="B637" s="11"/>
      <c r="C637" s="11"/>
      <c r="D637" s="11"/>
      <c r="E637" s="11"/>
      <c r="F637" s="11">
        <f>IF(AND(D637&lt;&gt;"",E637&lt;&gt;""),((TIMEVALUE(E637)-TIMEVALUE(D637))*24*60),"")</f>
      </c>
      <c r="G637" s="11"/>
      <c r="H637" s="11"/>
      <c r="I637" s="11">
        <f>IF(G637="","Pending",IF(G637&gt;=J637,"Accepted",IF(G637&gt;=(J637-Configuration!$C$5),"Tolerance","Refusal")))</f>
      </c>
      <c r="J637" s="11">
        <f>IFERROR(VLOOKUP(B637,'Plot Plan'!$A:$D,4,FALSE),"")</f>
      </c>
      <c r="K637" s="11">
        <f>IFERROR(VLOOKUP(B637,'Plot Plan'!$A:$B,2,FALSE),"")</f>
      </c>
      <c r="L637" s="11">
        <f>IFERROR(VLOOKUP(B637,'Plot Plan'!$A:$C,3,FALSE),"")</f>
      </c>
    </row>
    <row r="638" spans="1:12" s="8" customFormat="1" x14ac:dyDescent="0.25">
      <c r="A638" s="12"/>
      <c r="B638" s="10"/>
      <c r="C638" s="10"/>
      <c r="D638" s="10"/>
      <c r="E638" s="10"/>
      <c r="F638" s="10">
        <f>IF(AND(D638&lt;&gt;"",E638&lt;&gt;""),((TIMEVALUE(E638)-TIMEVALUE(D638))*24*60),"")</f>
      </c>
      <c r="G638" s="10"/>
      <c r="H638" s="10"/>
      <c r="I638" s="10">
        <f>IF(G638="","Pending",IF(G638&gt;=J638,"Accepted",IF(G638&gt;=(J638-Configuration!$C$5),"Tolerance","Refusal")))</f>
      </c>
      <c r="J638" s="10">
        <f>IFERROR(VLOOKUP(B638,'Plot Plan'!$A:$D,4,FALSE),"")</f>
      </c>
      <c r="K638" s="10">
        <f>IFERROR(VLOOKUP(B638,'Plot Plan'!$A:$B,2,FALSE),"")</f>
      </c>
      <c r="L638" s="10">
        <f>IFERROR(VLOOKUP(B638,'Plot Plan'!$A:$C,3,FALSE),"")</f>
      </c>
    </row>
    <row r="639" spans="1:12" x14ac:dyDescent="0.25">
      <c r="A639" s="13"/>
      <c r="B639" s="11"/>
      <c r="C639" s="11"/>
      <c r="D639" s="11"/>
      <c r="E639" s="11"/>
      <c r="F639" s="11">
        <f>IF(AND(D639&lt;&gt;"",E639&lt;&gt;""),((TIMEVALUE(E639)-TIMEVALUE(D639))*24*60),"")</f>
      </c>
      <c r="G639" s="11"/>
      <c r="H639" s="11"/>
      <c r="I639" s="11">
        <f>IF(G639="","Pending",IF(G639&gt;=J639,"Accepted",IF(G639&gt;=(J639-Configuration!$C$5),"Tolerance","Refusal")))</f>
      </c>
      <c r="J639" s="11">
        <f>IFERROR(VLOOKUP(B639,'Plot Plan'!$A:$D,4,FALSE),"")</f>
      </c>
      <c r="K639" s="11">
        <f>IFERROR(VLOOKUP(B639,'Plot Plan'!$A:$B,2,FALSE),"")</f>
      </c>
      <c r="L639" s="11">
        <f>IFERROR(VLOOKUP(B639,'Plot Plan'!$A:$C,3,FALSE),"")</f>
      </c>
    </row>
    <row r="640" spans="1:12" s="8" customFormat="1" x14ac:dyDescent="0.25">
      <c r="A640" s="12"/>
      <c r="B640" s="10"/>
      <c r="C640" s="10"/>
      <c r="D640" s="10"/>
      <c r="E640" s="10"/>
      <c r="F640" s="10">
        <f>IF(AND(D640&lt;&gt;"",E640&lt;&gt;""),((TIMEVALUE(E640)-TIMEVALUE(D640))*24*60),"")</f>
      </c>
      <c r="G640" s="10"/>
      <c r="H640" s="10"/>
      <c r="I640" s="10">
        <f>IF(G640="","Pending",IF(G640&gt;=J640,"Accepted",IF(G640&gt;=(J640-Configuration!$C$5),"Tolerance","Refusal")))</f>
      </c>
      <c r="J640" s="10">
        <f>IFERROR(VLOOKUP(B640,'Plot Plan'!$A:$D,4,FALSE),"")</f>
      </c>
      <c r="K640" s="10">
        <f>IFERROR(VLOOKUP(B640,'Plot Plan'!$A:$B,2,FALSE),"")</f>
      </c>
      <c r="L640" s="10">
        <f>IFERROR(VLOOKUP(B640,'Plot Plan'!$A:$C,3,FALSE),"")</f>
      </c>
    </row>
    <row r="641" spans="1:12" x14ac:dyDescent="0.25">
      <c r="A641" s="13"/>
      <c r="B641" s="11"/>
      <c r="C641" s="11"/>
      <c r="D641" s="11"/>
      <c r="E641" s="11"/>
      <c r="F641" s="11">
        <f>IF(AND(D641&lt;&gt;"",E641&lt;&gt;""),((TIMEVALUE(E641)-TIMEVALUE(D641))*24*60),"")</f>
      </c>
      <c r="G641" s="11"/>
      <c r="H641" s="11"/>
      <c r="I641" s="11">
        <f>IF(G641="","Pending",IF(G641&gt;=J641,"Accepted",IF(G641&gt;=(J641-Configuration!$C$5),"Tolerance","Refusal")))</f>
      </c>
      <c r="J641" s="11">
        <f>IFERROR(VLOOKUP(B641,'Plot Plan'!$A:$D,4,FALSE),"")</f>
      </c>
      <c r="K641" s="11">
        <f>IFERROR(VLOOKUP(B641,'Plot Plan'!$A:$B,2,FALSE),"")</f>
      </c>
      <c r="L641" s="11">
        <f>IFERROR(VLOOKUP(B641,'Plot Plan'!$A:$C,3,FALSE),"")</f>
      </c>
    </row>
    <row r="642" spans="1:12" s="8" customFormat="1" x14ac:dyDescent="0.25">
      <c r="A642" s="12"/>
      <c r="B642" s="10"/>
      <c r="C642" s="10"/>
      <c r="D642" s="10"/>
      <c r="E642" s="10"/>
      <c r="F642" s="10">
        <f>IF(AND(D642&lt;&gt;"",E642&lt;&gt;""),((TIMEVALUE(E642)-TIMEVALUE(D642))*24*60),"")</f>
      </c>
      <c r="G642" s="10"/>
      <c r="H642" s="10"/>
      <c r="I642" s="10">
        <f>IF(G642="","Pending",IF(G642&gt;=J642,"Accepted",IF(G642&gt;=(J642-Configuration!$C$5),"Tolerance","Refusal")))</f>
      </c>
      <c r="J642" s="10">
        <f>IFERROR(VLOOKUP(B642,'Plot Plan'!$A:$D,4,FALSE),"")</f>
      </c>
      <c r="K642" s="10">
        <f>IFERROR(VLOOKUP(B642,'Plot Plan'!$A:$B,2,FALSE),"")</f>
      </c>
      <c r="L642" s="10">
        <f>IFERROR(VLOOKUP(B642,'Plot Plan'!$A:$C,3,FALSE),"")</f>
      </c>
    </row>
    <row r="643" spans="1:12" x14ac:dyDescent="0.25">
      <c r="A643" s="13"/>
      <c r="B643" s="11"/>
      <c r="C643" s="11"/>
      <c r="D643" s="11"/>
      <c r="E643" s="11"/>
      <c r="F643" s="11">
        <f>IF(AND(D643&lt;&gt;"",E643&lt;&gt;""),((TIMEVALUE(E643)-TIMEVALUE(D643))*24*60),"")</f>
      </c>
      <c r="G643" s="11"/>
      <c r="H643" s="11"/>
      <c r="I643" s="11">
        <f>IF(G643="","Pending",IF(G643&gt;=J643,"Accepted",IF(G643&gt;=(J643-Configuration!$C$5),"Tolerance","Refusal")))</f>
      </c>
      <c r="J643" s="11">
        <f>IFERROR(VLOOKUP(B643,'Plot Plan'!$A:$D,4,FALSE),"")</f>
      </c>
      <c r="K643" s="11">
        <f>IFERROR(VLOOKUP(B643,'Plot Plan'!$A:$B,2,FALSE),"")</f>
      </c>
      <c r="L643" s="11">
        <f>IFERROR(VLOOKUP(B643,'Plot Plan'!$A:$C,3,FALSE),"")</f>
      </c>
    </row>
    <row r="644" spans="1:12" s="8" customFormat="1" x14ac:dyDescent="0.25">
      <c r="A644" s="12"/>
      <c r="B644" s="10"/>
      <c r="C644" s="10"/>
      <c r="D644" s="10"/>
      <c r="E644" s="10"/>
      <c r="F644" s="10">
        <f>IF(AND(D644&lt;&gt;"",E644&lt;&gt;""),((TIMEVALUE(E644)-TIMEVALUE(D644))*24*60),"")</f>
      </c>
      <c r="G644" s="10"/>
      <c r="H644" s="10"/>
      <c r="I644" s="10">
        <f>IF(G644="","Pending",IF(G644&gt;=J644,"Accepted",IF(G644&gt;=(J644-Configuration!$C$5),"Tolerance","Refusal")))</f>
      </c>
      <c r="J644" s="10">
        <f>IFERROR(VLOOKUP(B644,'Plot Plan'!$A:$D,4,FALSE),"")</f>
      </c>
      <c r="K644" s="10">
        <f>IFERROR(VLOOKUP(B644,'Plot Plan'!$A:$B,2,FALSE),"")</f>
      </c>
      <c r="L644" s="10">
        <f>IFERROR(VLOOKUP(B644,'Plot Plan'!$A:$C,3,FALSE),"")</f>
      </c>
    </row>
    <row r="645" spans="1:12" x14ac:dyDescent="0.25">
      <c r="A645" s="13"/>
      <c r="B645" s="11"/>
      <c r="C645" s="11"/>
      <c r="D645" s="11"/>
      <c r="E645" s="11"/>
      <c r="F645" s="11">
        <f>IF(AND(D645&lt;&gt;"",E645&lt;&gt;""),((TIMEVALUE(E645)-TIMEVALUE(D645))*24*60),"")</f>
      </c>
      <c r="G645" s="11"/>
      <c r="H645" s="11"/>
      <c r="I645" s="11">
        <f>IF(G645="","Pending",IF(G645&gt;=J645,"Accepted",IF(G645&gt;=(J645-Configuration!$C$5),"Tolerance","Refusal")))</f>
      </c>
      <c r="J645" s="11">
        <f>IFERROR(VLOOKUP(B645,'Plot Plan'!$A:$D,4,FALSE),"")</f>
      </c>
      <c r="K645" s="11">
        <f>IFERROR(VLOOKUP(B645,'Plot Plan'!$A:$B,2,FALSE),"")</f>
      </c>
      <c r="L645" s="11">
        <f>IFERROR(VLOOKUP(B645,'Plot Plan'!$A:$C,3,FALSE),"")</f>
      </c>
    </row>
    <row r="646" spans="1:12" s="8" customFormat="1" x14ac:dyDescent="0.25">
      <c r="A646" s="12"/>
      <c r="B646" s="10"/>
      <c r="C646" s="10"/>
      <c r="D646" s="10"/>
      <c r="E646" s="10"/>
      <c r="F646" s="10">
        <f>IF(AND(D646&lt;&gt;"",E646&lt;&gt;""),((TIMEVALUE(E646)-TIMEVALUE(D646))*24*60),"")</f>
      </c>
      <c r="G646" s="10"/>
      <c r="H646" s="10"/>
      <c r="I646" s="10">
        <f>IF(G646="","Pending",IF(G646&gt;=J646,"Accepted",IF(G646&gt;=(J646-Configuration!$C$5),"Tolerance","Refusal")))</f>
      </c>
      <c r="J646" s="10">
        <f>IFERROR(VLOOKUP(B646,'Plot Plan'!$A:$D,4,FALSE),"")</f>
      </c>
      <c r="K646" s="10">
        <f>IFERROR(VLOOKUP(B646,'Plot Plan'!$A:$B,2,FALSE),"")</f>
      </c>
      <c r="L646" s="10">
        <f>IFERROR(VLOOKUP(B646,'Plot Plan'!$A:$C,3,FALSE),"")</f>
      </c>
    </row>
    <row r="647" spans="1:12" x14ac:dyDescent="0.25">
      <c r="A647" s="13"/>
      <c r="B647" s="11"/>
      <c r="C647" s="11"/>
      <c r="D647" s="11"/>
      <c r="E647" s="11"/>
      <c r="F647" s="11">
        <f>IF(AND(D647&lt;&gt;"",E647&lt;&gt;""),((TIMEVALUE(E647)-TIMEVALUE(D647))*24*60),"")</f>
      </c>
      <c r="G647" s="11"/>
      <c r="H647" s="11"/>
      <c r="I647" s="11">
        <f>IF(G647="","Pending",IF(G647&gt;=J647,"Accepted",IF(G647&gt;=(J647-Configuration!$C$5),"Tolerance","Refusal")))</f>
      </c>
      <c r="J647" s="11">
        <f>IFERROR(VLOOKUP(B647,'Plot Plan'!$A:$D,4,FALSE),"")</f>
      </c>
      <c r="K647" s="11">
        <f>IFERROR(VLOOKUP(B647,'Plot Plan'!$A:$B,2,FALSE),"")</f>
      </c>
      <c r="L647" s="11">
        <f>IFERROR(VLOOKUP(B647,'Plot Plan'!$A:$C,3,FALSE),"")</f>
      </c>
    </row>
    <row r="648" spans="1:12" s="8" customFormat="1" x14ac:dyDescent="0.25">
      <c r="A648" s="12"/>
      <c r="B648" s="10"/>
      <c r="C648" s="10"/>
      <c r="D648" s="10"/>
      <c r="E648" s="10"/>
      <c r="F648" s="10">
        <f>IF(AND(D648&lt;&gt;"",E648&lt;&gt;""),((TIMEVALUE(E648)-TIMEVALUE(D648))*24*60),"")</f>
      </c>
      <c r="G648" s="10"/>
      <c r="H648" s="10"/>
      <c r="I648" s="10">
        <f>IF(G648="","Pending",IF(G648&gt;=J648,"Accepted",IF(G648&gt;=(J648-Configuration!$C$5),"Tolerance","Refusal")))</f>
      </c>
      <c r="J648" s="10">
        <f>IFERROR(VLOOKUP(B648,'Plot Plan'!$A:$D,4,FALSE),"")</f>
      </c>
      <c r="K648" s="10">
        <f>IFERROR(VLOOKUP(B648,'Plot Plan'!$A:$B,2,FALSE),"")</f>
      </c>
      <c r="L648" s="10">
        <f>IFERROR(VLOOKUP(B648,'Plot Plan'!$A:$C,3,FALSE),"")</f>
      </c>
    </row>
    <row r="649" spans="1:12" x14ac:dyDescent="0.25">
      <c r="A649" s="13"/>
      <c r="B649" s="11"/>
      <c r="C649" s="11"/>
      <c r="D649" s="11"/>
      <c r="E649" s="11"/>
      <c r="F649" s="11">
        <f>IF(AND(D649&lt;&gt;"",E649&lt;&gt;""),((TIMEVALUE(E649)-TIMEVALUE(D649))*24*60),"")</f>
      </c>
      <c r="G649" s="11"/>
      <c r="H649" s="11"/>
      <c r="I649" s="11">
        <f>IF(G649="","Pending",IF(G649&gt;=J649,"Accepted",IF(G649&gt;=(J649-Configuration!$C$5),"Tolerance","Refusal")))</f>
      </c>
      <c r="J649" s="11">
        <f>IFERROR(VLOOKUP(B649,'Plot Plan'!$A:$D,4,FALSE),"")</f>
      </c>
      <c r="K649" s="11">
        <f>IFERROR(VLOOKUP(B649,'Plot Plan'!$A:$B,2,FALSE),"")</f>
      </c>
      <c r="L649" s="11">
        <f>IFERROR(VLOOKUP(B649,'Plot Plan'!$A:$C,3,FALSE),"")</f>
      </c>
    </row>
    <row r="650" spans="1:12" s="8" customFormat="1" x14ac:dyDescent="0.25">
      <c r="A650" s="12"/>
      <c r="B650" s="10"/>
      <c r="C650" s="10"/>
      <c r="D650" s="10"/>
      <c r="E650" s="10"/>
      <c r="F650" s="10">
        <f>IF(AND(D650&lt;&gt;"",E650&lt;&gt;""),((TIMEVALUE(E650)-TIMEVALUE(D650))*24*60),"")</f>
      </c>
      <c r="G650" s="10"/>
      <c r="H650" s="10"/>
      <c r="I650" s="10">
        <f>IF(G650="","Pending",IF(G650&gt;=J650,"Accepted",IF(G650&gt;=(J650-Configuration!$C$5),"Tolerance","Refusal")))</f>
      </c>
      <c r="J650" s="10">
        <f>IFERROR(VLOOKUP(B650,'Plot Plan'!$A:$D,4,FALSE),"")</f>
      </c>
      <c r="K650" s="10">
        <f>IFERROR(VLOOKUP(B650,'Plot Plan'!$A:$B,2,FALSE),"")</f>
      </c>
      <c r="L650" s="10">
        <f>IFERROR(VLOOKUP(B650,'Plot Plan'!$A:$C,3,FALSE),"")</f>
      </c>
    </row>
    <row r="651" spans="1:12" x14ac:dyDescent="0.25">
      <c r="A651" s="13"/>
      <c r="B651" s="11"/>
      <c r="C651" s="11"/>
      <c r="D651" s="11"/>
      <c r="E651" s="11"/>
      <c r="F651" s="11">
        <f>IF(AND(D651&lt;&gt;"",E651&lt;&gt;""),((TIMEVALUE(E651)-TIMEVALUE(D651))*24*60),"")</f>
      </c>
      <c r="G651" s="11"/>
      <c r="H651" s="11"/>
      <c r="I651" s="11">
        <f>IF(G651="","Pending",IF(G651&gt;=J651,"Accepted",IF(G651&gt;=(J651-Configuration!$C$5),"Tolerance","Refusal")))</f>
      </c>
      <c r="J651" s="11">
        <f>IFERROR(VLOOKUP(B651,'Plot Plan'!$A:$D,4,FALSE),"")</f>
      </c>
      <c r="K651" s="11">
        <f>IFERROR(VLOOKUP(B651,'Plot Plan'!$A:$B,2,FALSE),"")</f>
      </c>
      <c r="L651" s="11">
        <f>IFERROR(VLOOKUP(B651,'Plot Plan'!$A:$C,3,FALSE),"")</f>
      </c>
    </row>
    <row r="652" spans="1:12" s="8" customFormat="1" x14ac:dyDescent="0.25">
      <c r="A652" s="12"/>
      <c r="B652" s="10"/>
      <c r="C652" s="10"/>
      <c r="D652" s="10"/>
      <c r="E652" s="10"/>
      <c r="F652" s="10">
        <f>IF(AND(D652&lt;&gt;"",E652&lt;&gt;""),((TIMEVALUE(E652)-TIMEVALUE(D652))*24*60),"")</f>
      </c>
      <c r="G652" s="10"/>
      <c r="H652" s="10"/>
      <c r="I652" s="10">
        <f>IF(G652="","Pending",IF(G652&gt;=J652,"Accepted",IF(G652&gt;=(J652-Configuration!$C$5),"Tolerance","Refusal")))</f>
      </c>
      <c r="J652" s="10">
        <f>IFERROR(VLOOKUP(B652,'Plot Plan'!$A:$D,4,FALSE),"")</f>
      </c>
      <c r="K652" s="10">
        <f>IFERROR(VLOOKUP(B652,'Plot Plan'!$A:$B,2,FALSE),"")</f>
      </c>
      <c r="L652" s="10">
        <f>IFERROR(VLOOKUP(B652,'Plot Plan'!$A:$C,3,FALSE),"")</f>
      </c>
    </row>
    <row r="653" spans="1:12" x14ac:dyDescent="0.25">
      <c r="A653" s="13"/>
      <c r="B653" s="11"/>
      <c r="C653" s="11"/>
      <c r="D653" s="11"/>
      <c r="E653" s="11"/>
      <c r="F653" s="11">
        <f>IF(AND(D653&lt;&gt;"",E653&lt;&gt;""),((TIMEVALUE(E653)-TIMEVALUE(D653))*24*60),"")</f>
      </c>
      <c r="G653" s="11"/>
      <c r="H653" s="11"/>
      <c r="I653" s="11">
        <f>IF(G653="","Pending",IF(G653&gt;=J653,"Accepted",IF(G653&gt;=(J653-Configuration!$C$5),"Tolerance","Refusal")))</f>
      </c>
      <c r="J653" s="11">
        <f>IFERROR(VLOOKUP(B653,'Plot Plan'!$A:$D,4,FALSE),"")</f>
      </c>
      <c r="K653" s="11">
        <f>IFERROR(VLOOKUP(B653,'Plot Plan'!$A:$B,2,FALSE),"")</f>
      </c>
      <c r="L653" s="11">
        <f>IFERROR(VLOOKUP(B653,'Plot Plan'!$A:$C,3,FALSE),"")</f>
      </c>
    </row>
    <row r="654" spans="1:12" s="8" customFormat="1" x14ac:dyDescent="0.25">
      <c r="A654" s="12"/>
      <c r="B654" s="10"/>
      <c r="C654" s="10"/>
      <c r="D654" s="10"/>
      <c r="E654" s="10"/>
      <c r="F654" s="10">
        <f>IF(AND(D654&lt;&gt;"",E654&lt;&gt;""),((TIMEVALUE(E654)-TIMEVALUE(D654))*24*60),"")</f>
      </c>
      <c r="G654" s="10"/>
      <c r="H654" s="10"/>
      <c r="I654" s="10">
        <f>IF(G654="","Pending",IF(G654&gt;=J654,"Accepted",IF(G654&gt;=(J654-Configuration!$C$5),"Tolerance","Refusal")))</f>
      </c>
      <c r="J654" s="10">
        <f>IFERROR(VLOOKUP(B654,'Plot Plan'!$A:$D,4,FALSE),"")</f>
      </c>
      <c r="K654" s="10">
        <f>IFERROR(VLOOKUP(B654,'Plot Plan'!$A:$B,2,FALSE),"")</f>
      </c>
      <c r="L654" s="10">
        <f>IFERROR(VLOOKUP(B654,'Plot Plan'!$A:$C,3,FALSE),"")</f>
      </c>
    </row>
    <row r="655" spans="1:12" x14ac:dyDescent="0.25">
      <c r="A655" s="13"/>
      <c r="B655" s="11"/>
      <c r="C655" s="11"/>
      <c r="D655" s="11"/>
      <c r="E655" s="11"/>
      <c r="F655" s="11">
        <f>IF(AND(D655&lt;&gt;"",E655&lt;&gt;""),((TIMEVALUE(E655)-TIMEVALUE(D655))*24*60),"")</f>
      </c>
      <c r="G655" s="11"/>
      <c r="H655" s="11"/>
      <c r="I655" s="11">
        <f>IF(G655="","Pending",IF(G655&gt;=J655,"Accepted",IF(G655&gt;=(J655-Configuration!$C$5),"Tolerance","Refusal")))</f>
      </c>
      <c r="J655" s="11">
        <f>IFERROR(VLOOKUP(B655,'Plot Plan'!$A:$D,4,FALSE),"")</f>
      </c>
      <c r="K655" s="11">
        <f>IFERROR(VLOOKUP(B655,'Plot Plan'!$A:$B,2,FALSE),"")</f>
      </c>
      <c r="L655" s="11">
        <f>IFERROR(VLOOKUP(B655,'Plot Plan'!$A:$C,3,FALSE),"")</f>
      </c>
    </row>
    <row r="656" spans="1:12" s="8" customFormat="1" x14ac:dyDescent="0.25">
      <c r="A656" s="12"/>
      <c r="B656" s="10"/>
      <c r="C656" s="10"/>
      <c r="D656" s="10"/>
      <c r="E656" s="10"/>
      <c r="F656" s="10">
        <f>IF(AND(D656&lt;&gt;"",E656&lt;&gt;""),((TIMEVALUE(E656)-TIMEVALUE(D656))*24*60),"")</f>
      </c>
      <c r="G656" s="10"/>
      <c r="H656" s="10"/>
      <c r="I656" s="10">
        <f>IF(G656="","Pending",IF(G656&gt;=J656,"Accepted",IF(G656&gt;=(J656-Configuration!$C$5),"Tolerance","Refusal")))</f>
      </c>
      <c r="J656" s="10">
        <f>IFERROR(VLOOKUP(B656,'Plot Plan'!$A:$D,4,FALSE),"")</f>
      </c>
      <c r="K656" s="10">
        <f>IFERROR(VLOOKUP(B656,'Plot Plan'!$A:$B,2,FALSE),"")</f>
      </c>
      <c r="L656" s="10">
        <f>IFERROR(VLOOKUP(B656,'Plot Plan'!$A:$C,3,FALSE),"")</f>
      </c>
    </row>
    <row r="657" spans="1:12" x14ac:dyDescent="0.25">
      <c r="A657" s="13"/>
      <c r="B657" s="11"/>
      <c r="C657" s="11"/>
      <c r="D657" s="11"/>
      <c r="E657" s="11"/>
      <c r="F657" s="11">
        <f>IF(AND(D657&lt;&gt;"",E657&lt;&gt;""),((TIMEVALUE(E657)-TIMEVALUE(D657))*24*60),"")</f>
      </c>
      <c r="G657" s="11"/>
      <c r="H657" s="11"/>
      <c r="I657" s="11">
        <f>IF(G657="","Pending",IF(G657&gt;=J657,"Accepted",IF(G657&gt;=(J657-Configuration!$C$5),"Tolerance","Refusal")))</f>
      </c>
      <c r="J657" s="11">
        <f>IFERROR(VLOOKUP(B657,'Plot Plan'!$A:$D,4,FALSE),"")</f>
      </c>
      <c r="K657" s="11">
        <f>IFERROR(VLOOKUP(B657,'Plot Plan'!$A:$B,2,FALSE),"")</f>
      </c>
      <c r="L657" s="11">
        <f>IFERROR(VLOOKUP(B657,'Plot Plan'!$A:$C,3,FALSE),"")</f>
      </c>
    </row>
    <row r="658" spans="1:12" s="8" customFormat="1" x14ac:dyDescent="0.25">
      <c r="A658" s="12"/>
      <c r="B658" s="10"/>
      <c r="C658" s="10"/>
      <c r="D658" s="10"/>
      <c r="E658" s="10"/>
      <c r="F658" s="10">
        <f>IF(AND(D658&lt;&gt;"",E658&lt;&gt;""),((TIMEVALUE(E658)-TIMEVALUE(D658))*24*60),"")</f>
      </c>
      <c r="G658" s="10"/>
      <c r="H658" s="10"/>
      <c r="I658" s="10">
        <f>IF(G658="","Pending",IF(G658&gt;=J658,"Accepted",IF(G658&gt;=(J658-Configuration!$C$5),"Tolerance","Refusal")))</f>
      </c>
      <c r="J658" s="10">
        <f>IFERROR(VLOOKUP(B658,'Plot Plan'!$A:$D,4,FALSE),"")</f>
      </c>
      <c r="K658" s="10">
        <f>IFERROR(VLOOKUP(B658,'Plot Plan'!$A:$B,2,FALSE),"")</f>
      </c>
      <c r="L658" s="10">
        <f>IFERROR(VLOOKUP(B658,'Plot Plan'!$A:$C,3,FALSE),"")</f>
      </c>
    </row>
    <row r="659" spans="1:12" x14ac:dyDescent="0.25">
      <c r="A659" s="13"/>
      <c r="B659" s="11"/>
      <c r="C659" s="11"/>
      <c r="D659" s="11"/>
      <c r="E659" s="11"/>
      <c r="F659" s="11">
        <f>IF(AND(D659&lt;&gt;"",E659&lt;&gt;""),((TIMEVALUE(E659)-TIMEVALUE(D659))*24*60),"")</f>
      </c>
      <c r="G659" s="11"/>
      <c r="H659" s="11"/>
      <c r="I659" s="11">
        <f>IF(G659="","Pending",IF(G659&gt;=J659,"Accepted",IF(G659&gt;=(J659-Configuration!$C$5),"Tolerance","Refusal")))</f>
      </c>
      <c r="J659" s="11">
        <f>IFERROR(VLOOKUP(B659,'Plot Plan'!$A:$D,4,FALSE),"")</f>
      </c>
      <c r="K659" s="11">
        <f>IFERROR(VLOOKUP(B659,'Plot Plan'!$A:$B,2,FALSE),"")</f>
      </c>
      <c r="L659" s="11">
        <f>IFERROR(VLOOKUP(B659,'Plot Plan'!$A:$C,3,FALSE),"")</f>
      </c>
    </row>
    <row r="660" spans="1:12" s="8" customFormat="1" x14ac:dyDescent="0.25">
      <c r="A660" s="12"/>
      <c r="B660" s="10"/>
      <c r="C660" s="10"/>
      <c r="D660" s="10"/>
      <c r="E660" s="10"/>
      <c r="F660" s="10">
        <f>IF(AND(D660&lt;&gt;"",E660&lt;&gt;""),((TIMEVALUE(E660)-TIMEVALUE(D660))*24*60),"")</f>
      </c>
      <c r="G660" s="10"/>
      <c r="H660" s="10"/>
      <c r="I660" s="10">
        <f>IF(G660="","Pending",IF(G660&gt;=J660,"Accepted",IF(G660&gt;=(J660-Configuration!$C$5),"Tolerance","Refusal")))</f>
      </c>
      <c r="J660" s="10">
        <f>IFERROR(VLOOKUP(B660,'Plot Plan'!$A:$D,4,FALSE),"")</f>
      </c>
      <c r="K660" s="10">
        <f>IFERROR(VLOOKUP(B660,'Plot Plan'!$A:$B,2,FALSE),"")</f>
      </c>
      <c r="L660" s="10">
        <f>IFERROR(VLOOKUP(B660,'Plot Plan'!$A:$C,3,FALSE),"")</f>
      </c>
    </row>
    <row r="661" spans="1:12" x14ac:dyDescent="0.25">
      <c r="A661" s="13"/>
      <c r="B661" s="11"/>
      <c r="C661" s="11"/>
      <c r="D661" s="11"/>
      <c r="E661" s="11"/>
      <c r="F661" s="11">
        <f>IF(AND(D661&lt;&gt;"",E661&lt;&gt;""),((TIMEVALUE(E661)-TIMEVALUE(D661))*24*60),"")</f>
      </c>
      <c r="G661" s="11"/>
      <c r="H661" s="11"/>
      <c r="I661" s="11">
        <f>IF(G661="","Pending",IF(G661&gt;=J661,"Accepted",IF(G661&gt;=(J661-Configuration!$C$5),"Tolerance","Refusal")))</f>
      </c>
      <c r="J661" s="11">
        <f>IFERROR(VLOOKUP(B661,'Plot Plan'!$A:$D,4,FALSE),"")</f>
      </c>
      <c r="K661" s="11">
        <f>IFERROR(VLOOKUP(B661,'Plot Plan'!$A:$B,2,FALSE),"")</f>
      </c>
      <c r="L661" s="11">
        <f>IFERROR(VLOOKUP(B661,'Plot Plan'!$A:$C,3,FALSE),"")</f>
      </c>
    </row>
    <row r="662" spans="1:12" s="8" customFormat="1" x14ac:dyDescent="0.25">
      <c r="A662" s="12"/>
      <c r="B662" s="10"/>
      <c r="C662" s="10"/>
      <c r="D662" s="10"/>
      <c r="E662" s="10"/>
      <c r="F662" s="10">
        <f>IF(AND(D662&lt;&gt;"",E662&lt;&gt;""),((TIMEVALUE(E662)-TIMEVALUE(D662))*24*60),"")</f>
      </c>
      <c r="G662" s="10"/>
      <c r="H662" s="10"/>
      <c r="I662" s="10">
        <f>IF(G662="","Pending",IF(G662&gt;=J662,"Accepted",IF(G662&gt;=(J662-Configuration!$C$5),"Tolerance","Refusal")))</f>
      </c>
      <c r="J662" s="10">
        <f>IFERROR(VLOOKUP(B662,'Plot Plan'!$A:$D,4,FALSE),"")</f>
      </c>
      <c r="K662" s="10">
        <f>IFERROR(VLOOKUP(B662,'Plot Plan'!$A:$B,2,FALSE),"")</f>
      </c>
      <c r="L662" s="10">
        <f>IFERROR(VLOOKUP(B662,'Plot Plan'!$A:$C,3,FALSE),"")</f>
      </c>
    </row>
    <row r="663" spans="1:12" x14ac:dyDescent="0.25">
      <c r="A663" s="13"/>
      <c r="B663" s="11"/>
      <c r="C663" s="11"/>
      <c r="D663" s="11"/>
      <c r="E663" s="11"/>
      <c r="F663" s="11">
        <f>IF(AND(D663&lt;&gt;"",E663&lt;&gt;""),((TIMEVALUE(E663)-TIMEVALUE(D663))*24*60),"")</f>
      </c>
      <c r="G663" s="11"/>
      <c r="H663" s="11"/>
      <c r="I663" s="11">
        <f>IF(G663="","Pending",IF(G663&gt;=J663,"Accepted",IF(G663&gt;=(J663-Configuration!$C$5),"Tolerance","Refusal")))</f>
      </c>
      <c r="J663" s="11">
        <f>IFERROR(VLOOKUP(B663,'Plot Plan'!$A:$D,4,FALSE),"")</f>
      </c>
      <c r="K663" s="11">
        <f>IFERROR(VLOOKUP(B663,'Plot Plan'!$A:$B,2,FALSE),"")</f>
      </c>
      <c r="L663" s="11">
        <f>IFERROR(VLOOKUP(B663,'Plot Plan'!$A:$C,3,FALSE),"")</f>
      </c>
    </row>
    <row r="664" spans="1:12" s="8" customFormat="1" x14ac:dyDescent="0.25">
      <c r="A664" s="12"/>
      <c r="B664" s="10"/>
      <c r="C664" s="10"/>
      <c r="D664" s="10"/>
      <c r="E664" s="10"/>
      <c r="F664" s="10">
        <f>IF(AND(D664&lt;&gt;"",E664&lt;&gt;""),((TIMEVALUE(E664)-TIMEVALUE(D664))*24*60),"")</f>
      </c>
      <c r="G664" s="10"/>
      <c r="H664" s="10"/>
      <c r="I664" s="10">
        <f>IF(G664="","Pending",IF(G664&gt;=J664,"Accepted",IF(G664&gt;=(J664-Configuration!$C$5),"Tolerance","Refusal")))</f>
      </c>
      <c r="J664" s="10">
        <f>IFERROR(VLOOKUP(B664,'Plot Plan'!$A:$D,4,FALSE),"")</f>
      </c>
      <c r="K664" s="10">
        <f>IFERROR(VLOOKUP(B664,'Plot Plan'!$A:$B,2,FALSE),"")</f>
      </c>
      <c r="L664" s="10">
        <f>IFERROR(VLOOKUP(B664,'Plot Plan'!$A:$C,3,FALSE),"")</f>
      </c>
    </row>
    <row r="665" spans="1:12" x14ac:dyDescent="0.25">
      <c r="A665" s="13"/>
      <c r="B665" s="11"/>
      <c r="C665" s="11"/>
      <c r="D665" s="11"/>
      <c r="E665" s="11"/>
      <c r="F665" s="11">
        <f>IF(AND(D665&lt;&gt;"",E665&lt;&gt;""),((TIMEVALUE(E665)-TIMEVALUE(D665))*24*60),"")</f>
      </c>
      <c r="G665" s="11"/>
      <c r="H665" s="11"/>
      <c r="I665" s="11">
        <f>IF(G665="","Pending",IF(G665&gt;=J665,"Accepted",IF(G665&gt;=(J665-Configuration!$C$5),"Tolerance","Refusal")))</f>
      </c>
      <c r="J665" s="11">
        <f>IFERROR(VLOOKUP(B665,'Plot Plan'!$A:$D,4,FALSE),"")</f>
      </c>
      <c r="K665" s="11">
        <f>IFERROR(VLOOKUP(B665,'Plot Plan'!$A:$B,2,FALSE),"")</f>
      </c>
      <c r="L665" s="11">
        <f>IFERROR(VLOOKUP(B665,'Plot Plan'!$A:$C,3,FALSE),"")</f>
      </c>
    </row>
    <row r="666" spans="1:12" s="8" customFormat="1" x14ac:dyDescent="0.25">
      <c r="A666" s="12"/>
      <c r="B666" s="10"/>
      <c r="C666" s="10"/>
      <c r="D666" s="10"/>
      <c r="E666" s="10"/>
      <c r="F666" s="10">
        <f>IF(AND(D666&lt;&gt;"",E666&lt;&gt;""),((TIMEVALUE(E666)-TIMEVALUE(D666))*24*60),"")</f>
      </c>
      <c r="G666" s="10"/>
      <c r="H666" s="10"/>
      <c r="I666" s="10">
        <f>IF(G666="","Pending",IF(G666&gt;=J666,"Accepted",IF(G666&gt;=(J666-Configuration!$C$5),"Tolerance","Refusal")))</f>
      </c>
      <c r="J666" s="10">
        <f>IFERROR(VLOOKUP(B666,'Plot Plan'!$A:$D,4,FALSE),"")</f>
      </c>
      <c r="K666" s="10">
        <f>IFERROR(VLOOKUP(B666,'Plot Plan'!$A:$B,2,FALSE),"")</f>
      </c>
      <c r="L666" s="10">
        <f>IFERROR(VLOOKUP(B666,'Plot Plan'!$A:$C,3,FALSE),"")</f>
      </c>
    </row>
    <row r="667" spans="1:12" x14ac:dyDescent="0.25">
      <c r="A667" s="13"/>
      <c r="B667" s="11"/>
      <c r="C667" s="11"/>
      <c r="D667" s="11"/>
      <c r="E667" s="11"/>
      <c r="F667" s="11">
        <f>IF(AND(D667&lt;&gt;"",E667&lt;&gt;""),((TIMEVALUE(E667)-TIMEVALUE(D667))*24*60),"")</f>
      </c>
      <c r="G667" s="11"/>
      <c r="H667" s="11"/>
      <c r="I667" s="11">
        <f>IF(G667="","Pending",IF(G667&gt;=J667,"Accepted",IF(G667&gt;=(J667-Configuration!$C$5),"Tolerance","Refusal")))</f>
      </c>
      <c r="J667" s="11">
        <f>IFERROR(VLOOKUP(B667,'Plot Plan'!$A:$D,4,FALSE),"")</f>
      </c>
      <c r="K667" s="11">
        <f>IFERROR(VLOOKUP(B667,'Plot Plan'!$A:$B,2,FALSE),"")</f>
      </c>
      <c r="L667" s="11">
        <f>IFERROR(VLOOKUP(B667,'Plot Plan'!$A:$C,3,FALSE),"")</f>
      </c>
    </row>
    <row r="668" spans="1:12" s="8" customFormat="1" x14ac:dyDescent="0.25">
      <c r="A668" s="12"/>
      <c r="B668" s="10"/>
      <c r="C668" s="10"/>
      <c r="D668" s="10"/>
      <c r="E668" s="10"/>
      <c r="F668" s="10">
        <f>IF(AND(D668&lt;&gt;"",E668&lt;&gt;""),((TIMEVALUE(E668)-TIMEVALUE(D668))*24*60),"")</f>
      </c>
      <c r="G668" s="10"/>
      <c r="H668" s="10"/>
      <c r="I668" s="10">
        <f>IF(G668="","Pending",IF(G668&gt;=J668,"Accepted",IF(G668&gt;=(J668-Configuration!$C$5),"Tolerance","Refusal")))</f>
      </c>
      <c r="J668" s="10">
        <f>IFERROR(VLOOKUP(B668,'Plot Plan'!$A:$D,4,FALSE),"")</f>
      </c>
      <c r="K668" s="10">
        <f>IFERROR(VLOOKUP(B668,'Plot Plan'!$A:$B,2,FALSE),"")</f>
      </c>
      <c r="L668" s="10">
        <f>IFERROR(VLOOKUP(B668,'Plot Plan'!$A:$C,3,FALSE),"")</f>
      </c>
    </row>
    <row r="669" spans="1:12" x14ac:dyDescent="0.25">
      <c r="A669" s="13"/>
      <c r="B669" s="11"/>
      <c r="C669" s="11"/>
      <c r="D669" s="11"/>
      <c r="E669" s="11"/>
      <c r="F669" s="11">
        <f>IF(AND(D669&lt;&gt;"",E669&lt;&gt;""),((TIMEVALUE(E669)-TIMEVALUE(D669))*24*60),"")</f>
      </c>
      <c r="G669" s="11"/>
      <c r="H669" s="11"/>
      <c r="I669" s="11">
        <f>IF(G669="","Pending",IF(G669&gt;=J669,"Accepted",IF(G669&gt;=(J669-Configuration!$C$5),"Tolerance","Refusal")))</f>
      </c>
      <c r="J669" s="11">
        <f>IFERROR(VLOOKUP(B669,'Plot Plan'!$A:$D,4,FALSE),"")</f>
      </c>
      <c r="K669" s="11">
        <f>IFERROR(VLOOKUP(B669,'Plot Plan'!$A:$B,2,FALSE),"")</f>
      </c>
      <c r="L669" s="11">
        <f>IFERROR(VLOOKUP(B669,'Plot Plan'!$A:$C,3,FALSE),"")</f>
      </c>
    </row>
    <row r="670" spans="1:12" s="8" customFormat="1" x14ac:dyDescent="0.25">
      <c r="A670" s="12"/>
      <c r="B670" s="10"/>
      <c r="C670" s="10"/>
      <c r="D670" s="10"/>
      <c r="E670" s="10"/>
      <c r="F670" s="10">
        <f>IF(AND(D670&lt;&gt;"",E670&lt;&gt;""),((TIMEVALUE(E670)-TIMEVALUE(D670))*24*60),"")</f>
      </c>
      <c r="G670" s="10"/>
      <c r="H670" s="10"/>
      <c r="I670" s="10">
        <f>IF(G670="","Pending",IF(G670&gt;=J670,"Accepted",IF(G670&gt;=(J670-Configuration!$C$5),"Tolerance","Refusal")))</f>
      </c>
      <c r="J670" s="10">
        <f>IFERROR(VLOOKUP(B670,'Plot Plan'!$A:$D,4,FALSE),"")</f>
      </c>
      <c r="K670" s="10">
        <f>IFERROR(VLOOKUP(B670,'Plot Plan'!$A:$B,2,FALSE),"")</f>
      </c>
      <c r="L670" s="10">
        <f>IFERROR(VLOOKUP(B670,'Plot Plan'!$A:$C,3,FALSE),"")</f>
      </c>
    </row>
    <row r="671" spans="1:12" x14ac:dyDescent="0.25">
      <c r="A671" s="13"/>
      <c r="B671" s="11"/>
      <c r="C671" s="11"/>
      <c r="D671" s="11"/>
      <c r="E671" s="11"/>
      <c r="F671" s="11">
        <f>IF(AND(D671&lt;&gt;"",E671&lt;&gt;""),((TIMEVALUE(E671)-TIMEVALUE(D671))*24*60),"")</f>
      </c>
      <c r="G671" s="11"/>
      <c r="H671" s="11"/>
      <c r="I671" s="11">
        <f>IF(G671="","Pending",IF(G671&gt;=J671,"Accepted",IF(G671&gt;=(J671-Configuration!$C$5),"Tolerance","Refusal")))</f>
      </c>
      <c r="J671" s="11">
        <f>IFERROR(VLOOKUP(B671,'Plot Plan'!$A:$D,4,FALSE),"")</f>
      </c>
      <c r="K671" s="11">
        <f>IFERROR(VLOOKUP(B671,'Plot Plan'!$A:$B,2,FALSE),"")</f>
      </c>
      <c r="L671" s="11">
        <f>IFERROR(VLOOKUP(B671,'Plot Plan'!$A:$C,3,FALSE),"")</f>
      </c>
    </row>
    <row r="672" spans="1:12" s="8" customFormat="1" x14ac:dyDescent="0.25">
      <c r="A672" s="12"/>
      <c r="B672" s="10"/>
      <c r="C672" s="10"/>
      <c r="D672" s="10"/>
      <c r="E672" s="10"/>
      <c r="F672" s="10">
        <f>IF(AND(D672&lt;&gt;"",E672&lt;&gt;""),((TIMEVALUE(E672)-TIMEVALUE(D672))*24*60),"")</f>
      </c>
      <c r="G672" s="10"/>
      <c r="H672" s="10"/>
      <c r="I672" s="10">
        <f>IF(G672="","Pending",IF(G672&gt;=J672,"Accepted",IF(G672&gt;=(J672-Configuration!$C$5),"Tolerance","Refusal")))</f>
      </c>
      <c r="J672" s="10">
        <f>IFERROR(VLOOKUP(B672,'Plot Plan'!$A:$D,4,FALSE),"")</f>
      </c>
      <c r="K672" s="10">
        <f>IFERROR(VLOOKUP(B672,'Plot Plan'!$A:$B,2,FALSE),"")</f>
      </c>
      <c r="L672" s="10">
        <f>IFERROR(VLOOKUP(B672,'Plot Plan'!$A:$C,3,FALSE),"")</f>
      </c>
    </row>
    <row r="673" spans="1:12" x14ac:dyDescent="0.25">
      <c r="A673" s="13"/>
      <c r="B673" s="11"/>
      <c r="C673" s="11"/>
      <c r="D673" s="11"/>
      <c r="E673" s="11"/>
      <c r="F673" s="11">
        <f>IF(AND(D673&lt;&gt;"",E673&lt;&gt;""),((TIMEVALUE(E673)-TIMEVALUE(D673))*24*60),"")</f>
      </c>
      <c r="G673" s="11"/>
      <c r="H673" s="11"/>
      <c r="I673" s="11">
        <f>IF(G673="","Pending",IF(G673&gt;=J673,"Accepted",IF(G673&gt;=(J673-Configuration!$C$5),"Tolerance","Refusal")))</f>
      </c>
      <c r="J673" s="11">
        <f>IFERROR(VLOOKUP(B673,'Plot Plan'!$A:$D,4,FALSE),"")</f>
      </c>
      <c r="K673" s="11">
        <f>IFERROR(VLOOKUP(B673,'Plot Plan'!$A:$B,2,FALSE),"")</f>
      </c>
      <c r="L673" s="11">
        <f>IFERROR(VLOOKUP(B673,'Plot Plan'!$A:$C,3,FALSE),"")</f>
      </c>
    </row>
    <row r="674" spans="1:12" s="8" customFormat="1" x14ac:dyDescent="0.25">
      <c r="A674" s="12"/>
      <c r="B674" s="10"/>
      <c r="C674" s="10"/>
      <c r="D674" s="10"/>
      <c r="E674" s="10"/>
      <c r="F674" s="10">
        <f>IF(AND(D674&lt;&gt;"",E674&lt;&gt;""),((TIMEVALUE(E674)-TIMEVALUE(D674))*24*60),"")</f>
      </c>
      <c r="G674" s="10"/>
      <c r="H674" s="10"/>
      <c r="I674" s="10">
        <f>IF(G674="","Pending",IF(G674&gt;=J674,"Accepted",IF(G674&gt;=(J674-Configuration!$C$5),"Tolerance","Refusal")))</f>
      </c>
      <c r="J674" s="10">
        <f>IFERROR(VLOOKUP(B674,'Plot Plan'!$A:$D,4,FALSE),"")</f>
      </c>
      <c r="K674" s="10">
        <f>IFERROR(VLOOKUP(B674,'Plot Plan'!$A:$B,2,FALSE),"")</f>
      </c>
      <c r="L674" s="10">
        <f>IFERROR(VLOOKUP(B674,'Plot Plan'!$A:$C,3,FALSE),"")</f>
      </c>
    </row>
    <row r="675" spans="1:12" x14ac:dyDescent="0.25">
      <c r="A675" s="13"/>
      <c r="B675" s="11"/>
      <c r="C675" s="11"/>
      <c r="D675" s="11"/>
      <c r="E675" s="11"/>
      <c r="F675" s="11">
        <f>IF(AND(D675&lt;&gt;"",E675&lt;&gt;""),((TIMEVALUE(E675)-TIMEVALUE(D675))*24*60),"")</f>
      </c>
      <c r="G675" s="11"/>
      <c r="H675" s="11"/>
      <c r="I675" s="11">
        <f>IF(G675="","Pending",IF(G675&gt;=J675,"Accepted",IF(G675&gt;=(J675-Configuration!$C$5),"Tolerance","Refusal")))</f>
      </c>
      <c r="J675" s="11">
        <f>IFERROR(VLOOKUP(B675,'Plot Plan'!$A:$D,4,FALSE),"")</f>
      </c>
      <c r="K675" s="11">
        <f>IFERROR(VLOOKUP(B675,'Plot Plan'!$A:$B,2,FALSE),"")</f>
      </c>
      <c r="L675" s="11">
        <f>IFERROR(VLOOKUP(B675,'Plot Plan'!$A:$C,3,FALSE),"")</f>
      </c>
    </row>
    <row r="676" spans="1:12" s="8" customFormat="1" x14ac:dyDescent="0.25">
      <c r="A676" s="12"/>
      <c r="B676" s="10"/>
      <c r="C676" s="10"/>
      <c r="D676" s="10"/>
      <c r="E676" s="10"/>
      <c r="F676" s="10">
        <f>IF(AND(D676&lt;&gt;"",E676&lt;&gt;""),((TIMEVALUE(E676)-TIMEVALUE(D676))*24*60),"")</f>
      </c>
      <c r="G676" s="10"/>
      <c r="H676" s="10"/>
      <c r="I676" s="10">
        <f>IF(G676="","Pending",IF(G676&gt;=J676,"Accepted",IF(G676&gt;=(J676-Configuration!$C$5),"Tolerance","Refusal")))</f>
      </c>
      <c r="J676" s="10">
        <f>IFERROR(VLOOKUP(B676,'Plot Plan'!$A:$D,4,FALSE),"")</f>
      </c>
      <c r="K676" s="10">
        <f>IFERROR(VLOOKUP(B676,'Plot Plan'!$A:$B,2,FALSE),"")</f>
      </c>
      <c r="L676" s="10">
        <f>IFERROR(VLOOKUP(B676,'Plot Plan'!$A:$C,3,FALSE),"")</f>
      </c>
    </row>
    <row r="677" spans="1:12" x14ac:dyDescent="0.25">
      <c r="A677" s="13"/>
      <c r="B677" s="11"/>
      <c r="C677" s="11"/>
      <c r="D677" s="11"/>
      <c r="E677" s="11"/>
      <c r="F677" s="11">
        <f>IF(AND(D677&lt;&gt;"",E677&lt;&gt;""),((TIMEVALUE(E677)-TIMEVALUE(D677))*24*60),"")</f>
      </c>
      <c r="G677" s="11"/>
      <c r="H677" s="11"/>
      <c r="I677" s="11">
        <f>IF(G677="","Pending",IF(G677&gt;=J677,"Accepted",IF(G677&gt;=(J677-Configuration!$C$5),"Tolerance","Refusal")))</f>
      </c>
      <c r="J677" s="11">
        <f>IFERROR(VLOOKUP(B677,'Plot Plan'!$A:$D,4,FALSE),"")</f>
      </c>
      <c r="K677" s="11">
        <f>IFERROR(VLOOKUP(B677,'Plot Plan'!$A:$B,2,FALSE),"")</f>
      </c>
      <c r="L677" s="11">
        <f>IFERROR(VLOOKUP(B677,'Plot Plan'!$A:$C,3,FALSE),"")</f>
      </c>
    </row>
    <row r="678" spans="1:12" s="8" customFormat="1" x14ac:dyDescent="0.25">
      <c r="A678" s="12"/>
      <c r="B678" s="10"/>
      <c r="C678" s="10"/>
      <c r="D678" s="10"/>
      <c r="E678" s="10"/>
      <c r="F678" s="10">
        <f>IF(AND(D678&lt;&gt;"",E678&lt;&gt;""),((TIMEVALUE(E678)-TIMEVALUE(D678))*24*60),"")</f>
      </c>
      <c r="G678" s="10"/>
      <c r="H678" s="10"/>
      <c r="I678" s="10">
        <f>IF(G678="","Pending",IF(G678&gt;=J678,"Accepted",IF(G678&gt;=(J678-Configuration!$C$5),"Tolerance","Refusal")))</f>
      </c>
      <c r="J678" s="10">
        <f>IFERROR(VLOOKUP(B678,'Plot Plan'!$A:$D,4,FALSE),"")</f>
      </c>
      <c r="K678" s="10">
        <f>IFERROR(VLOOKUP(B678,'Plot Plan'!$A:$B,2,FALSE),"")</f>
      </c>
      <c r="L678" s="10">
        <f>IFERROR(VLOOKUP(B678,'Plot Plan'!$A:$C,3,FALSE),"")</f>
      </c>
    </row>
    <row r="679" spans="1:12" x14ac:dyDescent="0.25">
      <c r="A679" s="13"/>
      <c r="B679" s="11"/>
      <c r="C679" s="11"/>
      <c r="D679" s="11"/>
      <c r="E679" s="11"/>
      <c r="F679" s="11">
        <f>IF(AND(D679&lt;&gt;"",E679&lt;&gt;""),((TIMEVALUE(E679)-TIMEVALUE(D679))*24*60),"")</f>
      </c>
      <c r="G679" s="11"/>
      <c r="H679" s="11"/>
      <c r="I679" s="11">
        <f>IF(G679="","Pending",IF(G679&gt;=J679,"Accepted",IF(G679&gt;=(J679-Configuration!$C$5),"Tolerance","Refusal")))</f>
      </c>
      <c r="J679" s="11">
        <f>IFERROR(VLOOKUP(B679,'Plot Plan'!$A:$D,4,FALSE),"")</f>
      </c>
      <c r="K679" s="11">
        <f>IFERROR(VLOOKUP(B679,'Plot Plan'!$A:$B,2,FALSE),"")</f>
      </c>
      <c r="L679" s="11">
        <f>IFERROR(VLOOKUP(B679,'Plot Plan'!$A:$C,3,FALSE),"")</f>
      </c>
    </row>
    <row r="680" spans="1:12" s="8" customFormat="1" x14ac:dyDescent="0.25">
      <c r="A680" s="12"/>
      <c r="B680" s="10"/>
      <c r="C680" s="10"/>
      <c r="D680" s="10"/>
      <c r="E680" s="10"/>
      <c r="F680" s="10">
        <f>IF(AND(D680&lt;&gt;"",E680&lt;&gt;""),((TIMEVALUE(E680)-TIMEVALUE(D680))*24*60),"")</f>
      </c>
      <c r="G680" s="10"/>
      <c r="H680" s="10"/>
      <c r="I680" s="10">
        <f>IF(G680="","Pending",IF(G680&gt;=J680,"Accepted",IF(G680&gt;=(J680-Configuration!$C$5),"Tolerance","Refusal")))</f>
      </c>
      <c r="J680" s="10">
        <f>IFERROR(VLOOKUP(B680,'Plot Plan'!$A:$D,4,FALSE),"")</f>
      </c>
      <c r="K680" s="10">
        <f>IFERROR(VLOOKUP(B680,'Plot Plan'!$A:$B,2,FALSE),"")</f>
      </c>
      <c r="L680" s="10">
        <f>IFERROR(VLOOKUP(B680,'Plot Plan'!$A:$C,3,FALSE),"")</f>
      </c>
    </row>
    <row r="681" spans="1:12" x14ac:dyDescent="0.25">
      <c r="A681" s="13"/>
      <c r="B681" s="11"/>
      <c r="C681" s="11"/>
      <c r="D681" s="11"/>
      <c r="E681" s="11"/>
      <c r="F681" s="11">
        <f>IF(AND(D681&lt;&gt;"",E681&lt;&gt;""),((TIMEVALUE(E681)-TIMEVALUE(D681))*24*60),"")</f>
      </c>
      <c r="G681" s="11"/>
      <c r="H681" s="11"/>
      <c r="I681" s="11">
        <f>IF(G681="","Pending",IF(G681&gt;=J681,"Accepted",IF(G681&gt;=(J681-Configuration!$C$5),"Tolerance","Refusal")))</f>
      </c>
      <c r="J681" s="11">
        <f>IFERROR(VLOOKUP(B681,'Plot Plan'!$A:$D,4,FALSE),"")</f>
      </c>
      <c r="K681" s="11">
        <f>IFERROR(VLOOKUP(B681,'Plot Plan'!$A:$B,2,FALSE),"")</f>
      </c>
      <c r="L681" s="11">
        <f>IFERROR(VLOOKUP(B681,'Plot Plan'!$A:$C,3,FALSE),"")</f>
      </c>
    </row>
    <row r="682" spans="1:12" s="8" customFormat="1" x14ac:dyDescent="0.25">
      <c r="A682" s="12"/>
      <c r="B682" s="10"/>
      <c r="C682" s="10"/>
      <c r="D682" s="10"/>
      <c r="E682" s="10"/>
      <c r="F682" s="10">
        <f>IF(AND(D682&lt;&gt;"",E682&lt;&gt;""),((TIMEVALUE(E682)-TIMEVALUE(D682))*24*60),"")</f>
      </c>
      <c r="G682" s="10"/>
      <c r="H682" s="10"/>
      <c r="I682" s="10">
        <f>IF(G682="","Pending",IF(G682&gt;=J682,"Accepted",IF(G682&gt;=(J682-Configuration!$C$5),"Tolerance","Refusal")))</f>
      </c>
      <c r="J682" s="10">
        <f>IFERROR(VLOOKUP(B682,'Plot Plan'!$A:$D,4,FALSE),"")</f>
      </c>
      <c r="K682" s="10">
        <f>IFERROR(VLOOKUP(B682,'Plot Plan'!$A:$B,2,FALSE),"")</f>
      </c>
      <c r="L682" s="10">
        <f>IFERROR(VLOOKUP(B682,'Plot Plan'!$A:$C,3,FALSE),"")</f>
      </c>
    </row>
    <row r="683" spans="1:12" x14ac:dyDescent="0.25">
      <c r="A683" s="13"/>
      <c r="B683" s="11"/>
      <c r="C683" s="11"/>
      <c r="D683" s="11"/>
      <c r="E683" s="11"/>
      <c r="F683" s="11">
        <f>IF(AND(D683&lt;&gt;"",E683&lt;&gt;""),((TIMEVALUE(E683)-TIMEVALUE(D683))*24*60),"")</f>
      </c>
      <c r="G683" s="11"/>
      <c r="H683" s="11"/>
      <c r="I683" s="11">
        <f>IF(G683="","Pending",IF(G683&gt;=J683,"Accepted",IF(G683&gt;=(J683-Configuration!$C$5),"Tolerance","Refusal")))</f>
      </c>
      <c r="J683" s="11">
        <f>IFERROR(VLOOKUP(B683,'Plot Plan'!$A:$D,4,FALSE),"")</f>
      </c>
      <c r="K683" s="11">
        <f>IFERROR(VLOOKUP(B683,'Plot Plan'!$A:$B,2,FALSE),"")</f>
      </c>
      <c r="L683" s="11">
        <f>IFERROR(VLOOKUP(B683,'Plot Plan'!$A:$C,3,FALSE),"")</f>
      </c>
    </row>
    <row r="684" spans="1:12" s="8" customFormat="1" x14ac:dyDescent="0.25">
      <c r="A684" s="12"/>
      <c r="B684" s="10"/>
      <c r="C684" s="10"/>
      <c r="D684" s="10"/>
      <c r="E684" s="10"/>
      <c r="F684" s="10">
        <f>IF(AND(D684&lt;&gt;"",E684&lt;&gt;""),((TIMEVALUE(E684)-TIMEVALUE(D684))*24*60),"")</f>
      </c>
      <c r="G684" s="10"/>
      <c r="H684" s="10"/>
      <c r="I684" s="10">
        <f>IF(G684="","Pending",IF(G684&gt;=J684,"Accepted",IF(G684&gt;=(J684-Configuration!$C$5),"Tolerance","Refusal")))</f>
      </c>
      <c r="J684" s="10">
        <f>IFERROR(VLOOKUP(B684,'Plot Plan'!$A:$D,4,FALSE),"")</f>
      </c>
      <c r="K684" s="10">
        <f>IFERROR(VLOOKUP(B684,'Plot Plan'!$A:$B,2,FALSE),"")</f>
      </c>
      <c r="L684" s="10">
        <f>IFERROR(VLOOKUP(B684,'Plot Plan'!$A:$C,3,FALSE),"")</f>
      </c>
    </row>
    <row r="685" spans="1:12" x14ac:dyDescent="0.25">
      <c r="A685" s="13"/>
      <c r="B685" s="11"/>
      <c r="C685" s="11"/>
      <c r="D685" s="11"/>
      <c r="E685" s="11"/>
      <c r="F685" s="11">
        <f>IF(AND(D685&lt;&gt;"",E685&lt;&gt;""),((TIMEVALUE(E685)-TIMEVALUE(D685))*24*60),"")</f>
      </c>
      <c r="G685" s="11"/>
      <c r="H685" s="11"/>
      <c r="I685" s="11">
        <f>IF(G685="","Pending",IF(G685&gt;=J685,"Accepted",IF(G685&gt;=(J685-Configuration!$C$5),"Tolerance","Refusal")))</f>
      </c>
      <c r="J685" s="11">
        <f>IFERROR(VLOOKUP(B685,'Plot Plan'!$A:$D,4,FALSE),"")</f>
      </c>
      <c r="K685" s="11">
        <f>IFERROR(VLOOKUP(B685,'Plot Plan'!$A:$B,2,FALSE),"")</f>
      </c>
      <c r="L685" s="11">
        <f>IFERROR(VLOOKUP(B685,'Plot Plan'!$A:$C,3,FALSE),"")</f>
      </c>
    </row>
    <row r="686" spans="1:12" s="8" customFormat="1" x14ac:dyDescent="0.25">
      <c r="A686" s="12"/>
      <c r="B686" s="10"/>
      <c r="C686" s="10"/>
      <c r="D686" s="10"/>
      <c r="E686" s="10"/>
      <c r="F686" s="10">
        <f>IF(AND(D686&lt;&gt;"",E686&lt;&gt;""),((TIMEVALUE(E686)-TIMEVALUE(D686))*24*60),"")</f>
      </c>
      <c r="G686" s="10"/>
      <c r="H686" s="10"/>
      <c r="I686" s="10">
        <f>IF(G686="","Pending",IF(G686&gt;=J686,"Accepted",IF(G686&gt;=(J686-Configuration!$C$5),"Tolerance","Refusal")))</f>
      </c>
      <c r="J686" s="10">
        <f>IFERROR(VLOOKUP(B686,'Plot Plan'!$A:$D,4,FALSE),"")</f>
      </c>
      <c r="K686" s="10">
        <f>IFERROR(VLOOKUP(B686,'Plot Plan'!$A:$B,2,FALSE),"")</f>
      </c>
      <c r="L686" s="10">
        <f>IFERROR(VLOOKUP(B686,'Plot Plan'!$A:$C,3,FALSE),"")</f>
      </c>
    </row>
    <row r="687" spans="1:12" x14ac:dyDescent="0.25">
      <c r="A687" s="13"/>
      <c r="B687" s="11"/>
      <c r="C687" s="11"/>
      <c r="D687" s="11"/>
      <c r="E687" s="11"/>
      <c r="F687" s="11">
        <f>IF(AND(D687&lt;&gt;"",E687&lt;&gt;""),((TIMEVALUE(E687)-TIMEVALUE(D687))*24*60),"")</f>
      </c>
      <c r="G687" s="11"/>
      <c r="H687" s="11"/>
      <c r="I687" s="11">
        <f>IF(G687="","Pending",IF(G687&gt;=J687,"Accepted",IF(G687&gt;=(J687-Configuration!$C$5),"Tolerance","Refusal")))</f>
      </c>
      <c r="J687" s="11">
        <f>IFERROR(VLOOKUP(B687,'Plot Plan'!$A:$D,4,FALSE),"")</f>
      </c>
      <c r="K687" s="11">
        <f>IFERROR(VLOOKUP(B687,'Plot Plan'!$A:$B,2,FALSE),"")</f>
      </c>
      <c r="L687" s="11">
        <f>IFERROR(VLOOKUP(B687,'Plot Plan'!$A:$C,3,FALSE),"")</f>
      </c>
    </row>
    <row r="688" spans="1:12" s="8" customFormat="1" x14ac:dyDescent="0.25">
      <c r="A688" s="12"/>
      <c r="B688" s="10"/>
      <c r="C688" s="10"/>
      <c r="D688" s="10"/>
      <c r="E688" s="10"/>
      <c r="F688" s="10">
        <f>IF(AND(D688&lt;&gt;"",E688&lt;&gt;""),((TIMEVALUE(E688)-TIMEVALUE(D688))*24*60),"")</f>
      </c>
      <c r="G688" s="10"/>
      <c r="H688" s="10"/>
      <c r="I688" s="10">
        <f>IF(G688="","Pending",IF(G688&gt;=J688,"Accepted",IF(G688&gt;=(J688-Configuration!$C$5),"Tolerance","Refusal")))</f>
      </c>
      <c r="J688" s="10">
        <f>IFERROR(VLOOKUP(B688,'Plot Plan'!$A:$D,4,FALSE),"")</f>
      </c>
      <c r="K688" s="10">
        <f>IFERROR(VLOOKUP(B688,'Plot Plan'!$A:$B,2,FALSE),"")</f>
      </c>
      <c r="L688" s="10">
        <f>IFERROR(VLOOKUP(B688,'Plot Plan'!$A:$C,3,FALSE),"")</f>
      </c>
    </row>
    <row r="689" spans="1:12" x14ac:dyDescent="0.25">
      <c r="A689" s="13"/>
      <c r="B689" s="11"/>
      <c r="C689" s="11"/>
      <c r="D689" s="11"/>
      <c r="E689" s="11"/>
      <c r="F689" s="11">
        <f>IF(AND(D689&lt;&gt;"",E689&lt;&gt;""),((TIMEVALUE(E689)-TIMEVALUE(D689))*24*60),"")</f>
      </c>
      <c r="G689" s="11"/>
      <c r="H689" s="11"/>
      <c r="I689" s="11">
        <f>IF(G689="","Pending",IF(G689&gt;=J689,"Accepted",IF(G689&gt;=(J689-Configuration!$C$5),"Tolerance","Refusal")))</f>
      </c>
      <c r="J689" s="11">
        <f>IFERROR(VLOOKUP(B689,'Plot Plan'!$A:$D,4,FALSE),"")</f>
      </c>
      <c r="K689" s="11">
        <f>IFERROR(VLOOKUP(B689,'Plot Plan'!$A:$B,2,FALSE),"")</f>
      </c>
      <c r="L689" s="11">
        <f>IFERROR(VLOOKUP(B689,'Plot Plan'!$A:$C,3,FALSE),"")</f>
      </c>
    </row>
    <row r="690" spans="1:12" s="8" customFormat="1" x14ac:dyDescent="0.25">
      <c r="A690" s="12"/>
      <c r="B690" s="10"/>
      <c r="C690" s="10"/>
      <c r="D690" s="10"/>
      <c r="E690" s="10"/>
      <c r="F690" s="10">
        <f>IF(AND(D690&lt;&gt;"",E690&lt;&gt;""),((TIMEVALUE(E690)-TIMEVALUE(D690))*24*60),"")</f>
      </c>
      <c r="G690" s="10"/>
      <c r="H690" s="10"/>
      <c r="I690" s="10">
        <f>IF(G690="","Pending",IF(G690&gt;=J690,"Accepted",IF(G690&gt;=(J690-Configuration!$C$5),"Tolerance","Refusal")))</f>
      </c>
      <c r="J690" s="10">
        <f>IFERROR(VLOOKUP(B690,'Plot Plan'!$A:$D,4,FALSE),"")</f>
      </c>
      <c r="K690" s="10">
        <f>IFERROR(VLOOKUP(B690,'Plot Plan'!$A:$B,2,FALSE),"")</f>
      </c>
      <c r="L690" s="10">
        <f>IFERROR(VLOOKUP(B690,'Plot Plan'!$A:$C,3,FALSE),"")</f>
      </c>
    </row>
    <row r="691" spans="1:12" x14ac:dyDescent="0.25">
      <c r="A691" s="13"/>
      <c r="B691" s="11"/>
      <c r="C691" s="11"/>
      <c r="D691" s="11"/>
      <c r="E691" s="11"/>
      <c r="F691" s="11">
        <f>IF(AND(D691&lt;&gt;"",E691&lt;&gt;""),((TIMEVALUE(E691)-TIMEVALUE(D691))*24*60),"")</f>
      </c>
      <c r="G691" s="11"/>
      <c r="H691" s="11"/>
      <c r="I691" s="11">
        <f>IF(G691="","Pending",IF(G691&gt;=J691,"Accepted",IF(G691&gt;=(J691-Configuration!$C$5),"Tolerance","Refusal")))</f>
      </c>
      <c r="J691" s="11">
        <f>IFERROR(VLOOKUP(B691,'Plot Plan'!$A:$D,4,FALSE),"")</f>
      </c>
      <c r="K691" s="11">
        <f>IFERROR(VLOOKUP(B691,'Plot Plan'!$A:$B,2,FALSE),"")</f>
      </c>
      <c r="L691" s="11">
        <f>IFERROR(VLOOKUP(B691,'Plot Plan'!$A:$C,3,FALSE),"")</f>
      </c>
    </row>
    <row r="692" spans="1:12" s="8" customFormat="1" x14ac:dyDescent="0.25">
      <c r="A692" s="12"/>
      <c r="B692" s="10"/>
      <c r="C692" s="10"/>
      <c r="D692" s="10"/>
      <c r="E692" s="10"/>
      <c r="F692" s="10">
        <f>IF(AND(D692&lt;&gt;"",E692&lt;&gt;""),((TIMEVALUE(E692)-TIMEVALUE(D692))*24*60),"")</f>
      </c>
      <c r="G692" s="10"/>
      <c r="H692" s="10"/>
      <c r="I692" s="10">
        <f>IF(G692="","Pending",IF(G692&gt;=J692,"Accepted",IF(G692&gt;=(J692-Configuration!$C$5),"Tolerance","Refusal")))</f>
      </c>
      <c r="J692" s="10">
        <f>IFERROR(VLOOKUP(B692,'Plot Plan'!$A:$D,4,FALSE),"")</f>
      </c>
      <c r="K692" s="10">
        <f>IFERROR(VLOOKUP(B692,'Plot Plan'!$A:$B,2,FALSE),"")</f>
      </c>
      <c r="L692" s="10">
        <f>IFERROR(VLOOKUP(B692,'Plot Plan'!$A:$C,3,FALSE),"")</f>
      </c>
    </row>
    <row r="693" spans="1:12" x14ac:dyDescent="0.25">
      <c r="A693" s="13"/>
      <c r="B693" s="11"/>
      <c r="C693" s="11"/>
      <c r="D693" s="11"/>
      <c r="E693" s="11"/>
      <c r="F693" s="11">
        <f>IF(AND(D693&lt;&gt;"",E693&lt;&gt;""),((TIMEVALUE(E693)-TIMEVALUE(D693))*24*60),"")</f>
      </c>
      <c r="G693" s="11"/>
      <c r="H693" s="11"/>
      <c r="I693" s="11">
        <f>IF(G693="","Pending",IF(G693&gt;=J693,"Accepted",IF(G693&gt;=(J693-Configuration!$C$5),"Tolerance","Refusal")))</f>
      </c>
      <c r="J693" s="11">
        <f>IFERROR(VLOOKUP(B693,'Plot Plan'!$A:$D,4,FALSE),"")</f>
      </c>
      <c r="K693" s="11">
        <f>IFERROR(VLOOKUP(B693,'Plot Plan'!$A:$B,2,FALSE),"")</f>
      </c>
      <c r="L693" s="11">
        <f>IFERROR(VLOOKUP(B693,'Plot Plan'!$A:$C,3,FALSE),"")</f>
      </c>
    </row>
    <row r="694" spans="1:12" s="8" customFormat="1" x14ac:dyDescent="0.25">
      <c r="A694" s="12"/>
      <c r="B694" s="10"/>
      <c r="C694" s="10"/>
      <c r="D694" s="10"/>
      <c r="E694" s="10"/>
      <c r="F694" s="10">
        <f>IF(AND(D694&lt;&gt;"",E694&lt;&gt;""),((TIMEVALUE(E694)-TIMEVALUE(D694))*24*60),"")</f>
      </c>
      <c r="G694" s="10"/>
      <c r="H694" s="10"/>
      <c r="I694" s="10">
        <f>IF(G694="","Pending",IF(G694&gt;=J694,"Accepted",IF(G694&gt;=(J694-Configuration!$C$5),"Tolerance","Refusal")))</f>
      </c>
      <c r="J694" s="10">
        <f>IFERROR(VLOOKUP(B694,'Plot Plan'!$A:$D,4,FALSE),"")</f>
      </c>
      <c r="K694" s="10">
        <f>IFERROR(VLOOKUP(B694,'Plot Plan'!$A:$B,2,FALSE),"")</f>
      </c>
      <c r="L694" s="10">
        <f>IFERROR(VLOOKUP(B694,'Plot Plan'!$A:$C,3,FALSE),"")</f>
      </c>
    </row>
    <row r="695" spans="1:12" x14ac:dyDescent="0.25">
      <c r="A695" s="13"/>
      <c r="B695" s="11"/>
      <c r="C695" s="11"/>
      <c r="D695" s="11"/>
      <c r="E695" s="11"/>
      <c r="F695" s="11">
        <f>IF(AND(D695&lt;&gt;"",E695&lt;&gt;""),((TIMEVALUE(E695)-TIMEVALUE(D695))*24*60),"")</f>
      </c>
      <c r="G695" s="11"/>
      <c r="H695" s="11"/>
      <c r="I695" s="11">
        <f>IF(G695="","Pending",IF(G695&gt;=J695,"Accepted",IF(G695&gt;=(J695-Configuration!$C$5),"Tolerance","Refusal")))</f>
      </c>
      <c r="J695" s="11">
        <f>IFERROR(VLOOKUP(B695,'Plot Plan'!$A:$D,4,FALSE),"")</f>
      </c>
      <c r="K695" s="11">
        <f>IFERROR(VLOOKUP(B695,'Plot Plan'!$A:$B,2,FALSE),"")</f>
      </c>
      <c r="L695" s="11">
        <f>IFERROR(VLOOKUP(B695,'Plot Plan'!$A:$C,3,FALSE),"")</f>
      </c>
    </row>
    <row r="696" spans="1:12" s="8" customFormat="1" x14ac:dyDescent="0.25">
      <c r="A696" s="12"/>
      <c r="B696" s="10"/>
      <c r="C696" s="10"/>
      <c r="D696" s="10"/>
      <c r="E696" s="10"/>
      <c r="F696" s="10">
        <f>IF(AND(D696&lt;&gt;"",E696&lt;&gt;""),((TIMEVALUE(E696)-TIMEVALUE(D696))*24*60),"")</f>
      </c>
      <c r="G696" s="10"/>
      <c r="H696" s="10"/>
      <c r="I696" s="10">
        <f>IF(G696="","Pending",IF(G696&gt;=J696,"Accepted",IF(G696&gt;=(J696-Configuration!$C$5),"Tolerance","Refusal")))</f>
      </c>
      <c r="J696" s="10">
        <f>IFERROR(VLOOKUP(B696,'Plot Plan'!$A:$D,4,FALSE),"")</f>
      </c>
      <c r="K696" s="10">
        <f>IFERROR(VLOOKUP(B696,'Plot Plan'!$A:$B,2,FALSE),"")</f>
      </c>
      <c r="L696" s="10">
        <f>IFERROR(VLOOKUP(B696,'Plot Plan'!$A:$C,3,FALSE),"")</f>
      </c>
    </row>
    <row r="697" spans="1:12" x14ac:dyDescent="0.25">
      <c r="A697" s="13"/>
      <c r="B697" s="11"/>
      <c r="C697" s="11"/>
      <c r="D697" s="11"/>
      <c r="E697" s="11"/>
      <c r="F697" s="11">
        <f>IF(AND(D697&lt;&gt;"",E697&lt;&gt;""),((TIMEVALUE(E697)-TIMEVALUE(D697))*24*60),"")</f>
      </c>
      <c r="G697" s="11"/>
      <c r="H697" s="11"/>
      <c r="I697" s="11">
        <f>IF(G697="","Pending",IF(G697&gt;=J697,"Accepted",IF(G697&gt;=(J697-Configuration!$C$5),"Tolerance","Refusal")))</f>
      </c>
      <c r="J697" s="11">
        <f>IFERROR(VLOOKUP(B697,'Plot Plan'!$A:$D,4,FALSE),"")</f>
      </c>
      <c r="K697" s="11">
        <f>IFERROR(VLOOKUP(B697,'Plot Plan'!$A:$B,2,FALSE),"")</f>
      </c>
      <c r="L697" s="11">
        <f>IFERROR(VLOOKUP(B697,'Plot Plan'!$A:$C,3,FALSE),"")</f>
      </c>
    </row>
    <row r="698" spans="1:12" s="8" customFormat="1" x14ac:dyDescent="0.25">
      <c r="A698" s="12"/>
      <c r="B698" s="10"/>
      <c r="C698" s="10"/>
      <c r="D698" s="10"/>
      <c r="E698" s="10"/>
      <c r="F698" s="10">
        <f>IF(AND(D698&lt;&gt;"",E698&lt;&gt;""),((TIMEVALUE(E698)-TIMEVALUE(D698))*24*60),"")</f>
      </c>
      <c r="G698" s="10"/>
      <c r="H698" s="10"/>
      <c r="I698" s="10">
        <f>IF(G698="","Pending",IF(G698&gt;=J698,"Accepted",IF(G698&gt;=(J698-Configuration!$C$5),"Tolerance","Refusal")))</f>
      </c>
      <c r="J698" s="10">
        <f>IFERROR(VLOOKUP(B698,'Plot Plan'!$A:$D,4,FALSE),"")</f>
      </c>
      <c r="K698" s="10">
        <f>IFERROR(VLOOKUP(B698,'Plot Plan'!$A:$B,2,FALSE),"")</f>
      </c>
      <c r="L698" s="10">
        <f>IFERROR(VLOOKUP(B698,'Plot Plan'!$A:$C,3,FALSE),"")</f>
      </c>
    </row>
    <row r="699" spans="1:12" x14ac:dyDescent="0.25">
      <c r="A699" s="13"/>
      <c r="B699" s="11"/>
      <c r="C699" s="11"/>
      <c r="D699" s="11"/>
      <c r="E699" s="11"/>
      <c r="F699" s="11">
        <f>IF(AND(D699&lt;&gt;"",E699&lt;&gt;""),((TIMEVALUE(E699)-TIMEVALUE(D699))*24*60),"")</f>
      </c>
      <c r="G699" s="11"/>
      <c r="H699" s="11"/>
      <c r="I699" s="11">
        <f>IF(G699="","Pending",IF(G699&gt;=J699,"Accepted",IF(G699&gt;=(J699-Configuration!$C$5),"Tolerance","Refusal")))</f>
      </c>
      <c r="J699" s="11">
        <f>IFERROR(VLOOKUP(B699,'Plot Plan'!$A:$D,4,FALSE),"")</f>
      </c>
      <c r="K699" s="11">
        <f>IFERROR(VLOOKUP(B699,'Plot Plan'!$A:$B,2,FALSE),"")</f>
      </c>
      <c r="L699" s="11">
        <f>IFERROR(VLOOKUP(B699,'Plot Plan'!$A:$C,3,FALSE),"")</f>
      </c>
    </row>
    <row r="700" spans="1:12" s="8" customFormat="1" x14ac:dyDescent="0.25">
      <c r="A700" s="12"/>
      <c r="B700" s="10"/>
      <c r="C700" s="10"/>
      <c r="D700" s="10"/>
      <c r="E700" s="10"/>
      <c r="F700" s="10">
        <f>IF(AND(D700&lt;&gt;"",E700&lt;&gt;""),((TIMEVALUE(E700)-TIMEVALUE(D700))*24*60),"")</f>
      </c>
      <c r="G700" s="10"/>
      <c r="H700" s="10"/>
      <c r="I700" s="10">
        <f>IF(G700="","Pending",IF(G700&gt;=J700,"Accepted",IF(G700&gt;=(J700-Configuration!$C$5),"Tolerance","Refusal")))</f>
      </c>
      <c r="J700" s="10">
        <f>IFERROR(VLOOKUP(B700,'Plot Plan'!$A:$D,4,FALSE),"")</f>
      </c>
      <c r="K700" s="10">
        <f>IFERROR(VLOOKUP(B700,'Plot Plan'!$A:$B,2,FALSE),"")</f>
      </c>
      <c r="L700" s="10">
        <f>IFERROR(VLOOKUP(B700,'Plot Plan'!$A:$C,3,FALSE),"")</f>
      </c>
    </row>
    <row r="701" spans="1:12" x14ac:dyDescent="0.25">
      <c r="A701" s="13"/>
      <c r="B701" s="11"/>
      <c r="C701" s="11"/>
      <c r="D701" s="11"/>
      <c r="E701" s="11"/>
      <c r="F701" s="11">
        <f>IF(AND(D701&lt;&gt;"",E701&lt;&gt;""),((TIMEVALUE(E701)-TIMEVALUE(D701))*24*60),"")</f>
      </c>
      <c r="G701" s="11"/>
      <c r="H701" s="11"/>
      <c r="I701" s="11">
        <f>IF(G701="","Pending",IF(G701&gt;=J701,"Accepted",IF(G701&gt;=(J701-Configuration!$C$5),"Tolerance","Refusal")))</f>
      </c>
      <c r="J701" s="11">
        <f>IFERROR(VLOOKUP(B701,'Plot Plan'!$A:$D,4,FALSE),"")</f>
      </c>
      <c r="K701" s="11">
        <f>IFERROR(VLOOKUP(B701,'Plot Plan'!$A:$B,2,FALSE),"")</f>
      </c>
      <c r="L701" s="11">
        <f>IFERROR(VLOOKUP(B701,'Plot Plan'!$A:$C,3,FALSE),"")</f>
      </c>
    </row>
    <row r="702" spans="1:12" s="8" customFormat="1" x14ac:dyDescent="0.25">
      <c r="A702" s="12"/>
      <c r="B702" s="10"/>
      <c r="C702" s="10"/>
      <c r="D702" s="10"/>
      <c r="E702" s="10"/>
      <c r="F702" s="10">
        <f>IF(AND(D702&lt;&gt;"",E702&lt;&gt;""),((TIMEVALUE(E702)-TIMEVALUE(D702))*24*60),"")</f>
      </c>
      <c r="G702" s="10"/>
      <c r="H702" s="10"/>
      <c r="I702" s="10">
        <f>IF(G702="","Pending",IF(G702&gt;=J702,"Accepted",IF(G702&gt;=(J702-Configuration!$C$5),"Tolerance","Refusal")))</f>
      </c>
      <c r="J702" s="10">
        <f>IFERROR(VLOOKUP(B702,'Plot Plan'!$A:$D,4,FALSE),"")</f>
      </c>
      <c r="K702" s="10">
        <f>IFERROR(VLOOKUP(B702,'Plot Plan'!$A:$B,2,FALSE),"")</f>
      </c>
      <c r="L702" s="10">
        <f>IFERROR(VLOOKUP(B702,'Plot Plan'!$A:$C,3,FALSE),"")</f>
      </c>
    </row>
    <row r="703" spans="1:12" x14ac:dyDescent="0.25">
      <c r="A703" s="13"/>
      <c r="B703" s="11"/>
      <c r="C703" s="11"/>
      <c r="D703" s="11"/>
      <c r="E703" s="11"/>
      <c r="F703" s="11">
        <f>IF(AND(D703&lt;&gt;"",E703&lt;&gt;""),((TIMEVALUE(E703)-TIMEVALUE(D703))*24*60),"")</f>
      </c>
      <c r="G703" s="11"/>
      <c r="H703" s="11"/>
      <c r="I703" s="11">
        <f>IF(G703="","Pending",IF(G703&gt;=J703,"Accepted",IF(G703&gt;=(J703-Configuration!$C$5),"Tolerance","Refusal")))</f>
      </c>
      <c r="J703" s="11">
        <f>IFERROR(VLOOKUP(B703,'Plot Plan'!$A:$D,4,FALSE),"")</f>
      </c>
      <c r="K703" s="11">
        <f>IFERROR(VLOOKUP(B703,'Plot Plan'!$A:$B,2,FALSE),"")</f>
      </c>
      <c r="L703" s="11">
        <f>IFERROR(VLOOKUP(B703,'Plot Plan'!$A:$C,3,FALSE),"")</f>
      </c>
    </row>
    <row r="704" spans="1:12" s="8" customFormat="1" x14ac:dyDescent="0.25">
      <c r="A704" s="12"/>
      <c r="B704" s="10"/>
      <c r="C704" s="10"/>
      <c r="D704" s="10"/>
      <c r="E704" s="10"/>
      <c r="F704" s="10">
        <f>IF(AND(D704&lt;&gt;"",E704&lt;&gt;""),((TIMEVALUE(E704)-TIMEVALUE(D704))*24*60),"")</f>
      </c>
      <c r="G704" s="10"/>
      <c r="H704" s="10"/>
      <c r="I704" s="10">
        <f>IF(G704="","Pending",IF(G704&gt;=J704,"Accepted",IF(G704&gt;=(J704-Configuration!$C$5),"Tolerance","Refusal")))</f>
      </c>
      <c r="J704" s="10">
        <f>IFERROR(VLOOKUP(B704,'Plot Plan'!$A:$D,4,FALSE),"")</f>
      </c>
      <c r="K704" s="10">
        <f>IFERROR(VLOOKUP(B704,'Plot Plan'!$A:$B,2,FALSE),"")</f>
      </c>
      <c r="L704" s="10">
        <f>IFERROR(VLOOKUP(B704,'Plot Plan'!$A:$C,3,FALSE),"")</f>
      </c>
    </row>
    <row r="705" spans="1:12" x14ac:dyDescent="0.25">
      <c r="A705" s="13"/>
      <c r="B705" s="11"/>
      <c r="C705" s="11"/>
      <c r="D705" s="11"/>
      <c r="E705" s="11"/>
      <c r="F705" s="11">
        <f>IF(AND(D705&lt;&gt;"",E705&lt;&gt;""),((TIMEVALUE(E705)-TIMEVALUE(D705))*24*60),"")</f>
      </c>
      <c r="G705" s="11"/>
      <c r="H705" s="11"/>
      <c r="I705" s="11">
        <f>IF(G705="","Pending",IF(G705&gt;=J705,"Accepted",IF(G705&gt;=(J705-Configuration!$C$5),"Tolerance","Refusal")))</f>
      </c>
      <c r="J705" s="11">
        <f>IFERROR(VLOOKUP(B705,'Plot Plan'!$A:$D,4,FALSE),"")</f>
      </c>
      <c r="K705" s="11">
        <f>IFERROR(VLOOKUP(B705,'Plot Plan'!$A:$B,2,FALSE),"")</f>
      </c>
      <c r="L705" s="11">
        <f>IFERROR(VLOOKUP(B705,'Plot Plan'!$A:$C,3,FALSE),"")</f>
      </c>
    </row>
    <row r="706" spans="1:12" s="8" customFormat="1" x14ac:dyDescent="0.25">
      <c r="A706" s="12"/>
      <c r="B706" s="10"/>
      <c r="C706" s="10"/>
      <c r="D706" s="10"/>
      <c r="E706" s="10"/>
      <c r="F706" s="10">
        <f>IF(AND(D706&lt;&gt;"",E706&lt;&gt;""),((TIMEVALUE(E706)-TIMEVALUE(D706))*24*60),"")</f>
      </c>
      <c r="G706" s="10"/>
      <c r="H706" s="10"/>
      <c r="I706" s="10">
        <f>IF(G706="","Pending",IF(G706&gt;=J706,"Accepted",IF(G706&gt;=(J706-Configuration!$C$5),"Tolerance","Refusal")))</f>
      </c>
      <c r="J706" s="10">
        <f>IFERROR(VLOOKUP(B706,'Plot Plan'!$A:$D,4,FALSE),"")</f>
      </c>
      <c r="K706" s="10">
        <f>IFERROR(VLOOKUP(B706,'Plot Plan'!$A:$B,2,FALSE),"")</f>
      </c>
      <c r="L706" s="10">
        <f>IFERROR(VLOOKUP(B706,'Plot Plan'!$A:$C,3,FALSE),"")</f>
      </c>
    </row>
    <row r="707" spans="1:12" x14ac:dyDescent="0.25">
      <c r="A707" s="13"/>
      <c r="B707" s="11"/>
      <c r="C707" s="11"/>
      <c r="D707" s="11"/>
      <c r="E707" s="11"/>
      <c r="F707" s="11">
        <f>IF(AND(D707&lt;&gt;"",E707&lt;&gt;""),((TIMEVALUE(E707)-TIMEVALUE(D707))*24*60),"")</f>
      </c>
      <c r="G707" s="11"/>
      <c r="H707" s="11"/>
      <c r="I707" s="11">
        <f>IF(G707="","Pending",IF(G707&gt;=J707,"Accepted",IF(G707&gt;=(J707-Configuration!$C$5),"Tolerance","Refusal")))</f>
      </c>
      <c r="J707" s="11">
        <f>IFERROR(VLOOKUP(B707,'Plot Plan'!$A:$D,4,FALSE),"")</f>
      </c>
      <c r="K707" s="11">
        <f>IFERROR(VLOOKUP(B707,'Plot Plan'!$A:$B,2,FALSE),"")</f>
      </c>
      <c r="L707" s="11">
        <f>IFERROR(VLOOKUP(B707,'Plot Plan'!$A:$C,3,FALSE),"")</f>
      </c>
    </row>
    <row r="708" spans="1:12" s="8" customFormat="1" x14ac:dyDescent="0.25">
      <c r="A708" s="12"/>
      <c r="B708" s="10"/>
      <c r="C708" s="10"/>
      <c r="D708" s="10"/>
      <c r="E708" s="10"/>
      <c r="F708" s="10">
        <f>IF(AND(D708&lt;&gt;"",E708&lt;&gt;""),((TIMEVALUE(E708)-TIMEVALUE(D708))*24*60),"")</f>
      </c>
      <c r="G708" s="10"/>
      <c r="H708" s="10"/>
      <c r="I708" s="10">
        <f>IF(G708="","Pending",IF(G708&gt;=J708,"Accepted",IF(G708&gt;=(J708-Configuration!$C$5),"Tolerance","Refusal")))</f>
      </c>
      <c r="J708" s="10">
        <f>IFERROR(VLOOKUP(B708,'Plot Plan'!$A:$D,4,FALSE),"")</f>
      </c>
      <c r="K708" s="10">
        <f>IFERROR(VLOOKUP(B708,'Plot Plan'!$A:$B,2,FALSE),"")</f>
      </c>
      <c r="L708" s="10">
        <f>IFERROR(VLOOKUP(B708,'Plot Plan'!$A:$C,3,FALSE),"")</f>
      </c>
    </row>
    <row r="709" spans="1:12" x14ac:dyDescent="0.25">
      <c r="A709" s="13"/>
      <c r="B709" s="11"/>
      <c r="C709" s="11"/>
      <c r="D709" s="11"/>
      <c r="E709" s="11"/>
      <c r="F709" s="11">
        <f>IF(AND(D709&lt;&gt;"",E709&lt;&gt;""),((TIMEVALUE(E709)-TIMEVALUE(D709))*24*60),"")</f>
      </c>
      <c r="G709" s="11"/>
      <c r="H709" s="11"/>
      <c r="I709" s="11">
        <f>IF(G709="","Pending",IF(G709&gt;=J709,"Accepted",IF(G709&gt;=(J709-Configuration!$C$5),"Tolerance","Refusal")))</f>
      </c>
      <c r="J709" s="11">
        <f>IFERROR(VLOOKUP(B709,'Plot Plan'!$A:$D,4,FALSE),"")</f>
      </c>
      <c r="K709" s="11">
        <f>IFERROR(VLOOKUP(B709,'Plot Plan'!$A:$B,2,FALSE),"")</f>
      </c>
      <c r="L709" s="11">
        <f>IFERROR(VLOOKUP(B709,'Plot Plan'!$A:$C,3,FALSE),"")</f>
      </c>
    </row>
    <row r="710" spans="1:12" s="8" customFormat="1" x14ac:dyDescent="0.25">
      <c r="A710" s="12"/>
      <c r="B710" s="10"/>
      <c r="C710" s="10"/>
      <c r="D710" s="10"/>
      <c r="E710" s="10"/>
      <c r="F710" s="10">
        <f>IF(AND(D710&lt;&gt;"",E710&lt;&gt;""),((TIMEVALUE(E710)-TIMEVALUE(D710))*24*60),"")</f>
      </c>
      <c r="G710" s="10"/>
      <c r="H710" s="10"/>
      <c r="I710" s="10">
        <f>IF(G710="","Pending",IF(G710&gt;=J710,"Accepted",IF(G710&gt;=(J710-Configuration!$C$5),"Tolerance","Refusal")))</f>
      </c>
      <c r="J710" s="10">
        <f>IFERROR(VLOOKUP(B710,'Plot Plan'!$A:$D,4,FALSE),"")</f>
      </c>
      <c r="K710" s="10">
        <f>IFERROR(VLOOKUP(B710,'Plot Plan'!$A:$B,2,FALSE),"")</f>
      </c>
      <c r="L710" s="10">
        <f>IFERROR(VLOOKUP(B710,'Plot Plan'!$A:$C,3,FALSE),"")</f>
      </c>
    </row>
    <row r="711" spans="1:12" x14ac:dyDescent="0.25">
      <c r="A711" s="13"/>
      <c r="B711" s="11"/>
      <c r="C711" s="11"/>
      <c r="D711" s="11"/>
      <c r="E711" s="11"/>
      <c r="F711" s="11">
        <f>IF(AND(D711&lt;&gt;"",E711&lt;&gt;""),((TIMEVALUE(E711)-TIMEVALUE(D711))*24*60),"")</f>
      </c>
      <c r="G711" s="11"/>
      <c r="H711" s="11"/>
      <c r="I711" s="11">
        <f>IF(G711="","Pending",IF(G711&gt;=J711,"Accepted",IF(G711&gt;=(J711-Configuration!$C$5),"Tolerance","Refusal")))</f>
      </c>
      <c r="J711" s="11">
        <f>IFERROR(VLOOKUP(B711,'Plot Plan'!$A:$D,4,FALSE),"")</f>
      </c>
      <c r="K711" s="11">
        <f>IFERROR(VLOOKUP(B711,'Plot Plan'!$A:$B,2,FALSE),"")</f>
      </c>
      <c r="L711" s="11">
        <f>IFERROR(VLOOKUP(B711,'Plot Plan'!$A:$C,3,FALSE),"")</f>
      </c>
    </row>
    <row r="712" spans="1:12" s="8" customFormat="1" x14ac:dyDescent="0.25">
      <c r="A712" s="12"/>
      <c r="B712" s="10"/>
      <c r="C712" s="10"/>
      <c r="D712" s="10"/>
      <c r="E712" s="10"/>
      <c r="F712" s="10">
        <f>IF(AND(D712&lt;&gt;"",E712&lt;&gt;""),((TIMEVALUE(E712)-TIMEVALUE(D712))*24*60),"")</f>
      </c>
      <c r="G712" s="10"/>
      <c r="H712" s="10"/>
      <c r="I712" s="10">
        <f>IF(G712="","Pending",IF(G712&gt;=J712,"Accepted",IF(G712&gt;=(J712-Configuration!$C$5),"Tolerance","Refusal")))</f>
      </c>
      <c r="J712" s="10">
        <f>IFERROR(VLOOKUP(B712,'Plot Plan'!$A:$D,4,FALSE),"")</f>
      </c>
      <c r="K712" s="10">
        <f>IFERROR(VLOOKUP(B712,'Plot Plan'!$A:$B,2,FALSE),"")</f>
      </c>
      <c r="L712" s="10">
        <f>IFERROR(VLOOKUP(B712,'Plot Plan'!$A:$C,3,FALSE),"")</f>
      </c>
    </row>
    <row r="713" spans="1:12" x14ac:dyDescent="0.25">
      <c r="A713" s="13"/>
      <c r="B713" s="11"/>
      <c r="C713" s="11"/>
      <c r="D713" s="11"/>
      <c r="E713" s="11"/>
      <c r="F713" s="11">
        <f>IF(AND(D713&lt;&gt;"",E713&lt;&gt;""),((TIMEVALUE(E713)-TIMEVALUE(D713))*24*60),"")</f>
      </c>
      <c r="G713" s="11"/>
      <c r="H713" s="11"/>
      <c r="I713" s="11">
        <f>IF(G713="","Pending",IF(G713&gt;=J713,"Accepted",IF(G713&gt;=(J713-Configuration!$C$5),"Tolerance","Refusal")))</f>
      </c>
      <c r="J713" s="11">
        <f>IFERROR(VLOOKUP(B713,'Plot Plan'!$A:$D,4,FALSE),"")</f>
      </c>
      <c r="K713" s="11">
        <f>IFERROR(VLOOKUP(B713,'Plot Plan'!$A:$B,2,FALSE),"")</f>
      </c>
      <c r="L713" s="11">
        <f>IFERROR(VLOOKUP(B713,'Plot Plan'!$A:$C,3,FALSE),"")</f>
      </c>
    </row>
    <row r="714" spans="1:12" s="8" customFormat="1" x14ac:dyDescent="0.25">
      <c r="A714" s="12"/>
      <c r="B714" s="10"/>
      <c r="C714" s="10"/>
      <c r="D714" s="10"/>
      <c r="E714" s="10"/>
      <c r="F714" s="10">
        <f>IF(AND(D714&lt;&gt;"",E714&lt;&gt;""),((TIMEVALUE(E714)-TIMEVALUE(D714))*24*60),"")</f>
      </c>
      <c r="G714" s="10"/>
      <c r="H714" s="10"/>
      <c r="I714" s="10">
        <f>IF(G714="","Pending",IF(G714&gt;=J714,"Accepted",IF(G714&gt;=(J714-Configuration!$C$5),"Tolerance","Refusal")))</f>
      </c>
      <c r="J714" s="10">
        <f>IFERROR(VLOOKUP(B714,'Plot Plan'!$A:$D,4,FALSE),"")</f>
      </c>
      <c r="K714" s="10">
        <f>IFERROR(VLOOKUP(B714,'Plot Plan'!$A:$B,2,FALSE),"")</f>
      </c>
      <c r="L714" s="10">
        <f>IFERROR(VLOOKUP(B714,'Plot Plan'!$A:$C,3,FALSE),"")</f>
      </c>
    </row>
    <row r="715" spans="1:12" x14ac:dyDescent="0.25">
      <c r="A715" s="13"/>
      <c r="B715" s="11"/>
      <c r="C715" s="11"/>
      <c r="D715" s="11"/>
      <c r="E715" s="11"/>
      <c r="F715" s="11">
        <f>IF(AND(D715&lt;&gt;"",E715&lt;&gt;""),((TIMEVALUE(E715)-TIMEVALUE(D715))*24*60),"")</f>
      </c>
      <c r="G715" s="11"/>
      <c r="H715" s="11"/>
      <c r="I715" s="11">
        <f>IF(G715="","Pending",IF(G715&gt;=J715,"Accepted",IF(G715&gt;=(J715-Configuration!$C$5),"Tolerance","Refusal")))</f>
      </c>
      <c r="J715" s="11">
        <f>IFERROR(VLOOKUP(B715,'Plot Plan'!$A:$D,4,FALSE),"")</f>
      </c>
      <c r="K715" s="11">
        <f>IFERROR(VLOOKUP(B715,'Plot Plan'!$A:$B,2,FALSE),"")</f>
      </c>
      <c r="L715" s="11">
        <f>IFERROR(VLOOKUP(B715,'Plot Plan'!$A:$C,3,FALSE),"")</f>
      </c>
    </row>
    <row r="716" spans="1:12" s="8" customFormat="1" x14ac:dyDescent="0.25">
      <c r="A716" s="12"/>
      <c r="B716" s="10"/>
      <c r="C716" s="10"/>
      <c r="D716" s="10"/>
      <c r="E716" s="10"/>
      <c r="F716" s="10">
        <f>IF(AND(D716&lt;&gt;"",E716&lt;&gt;""),((TIMEVALUE(E716)-TIMEVALUE(D716))*24*60),"")</f>
      </c>
      <c r="G716" s="10"/>
      <c r="H716" s="10"/>
      <c r="I716" s="10">
        <f>IF(G716="","Pending",IF(G716&gt;=J716,"Accepted",IF(G716&gt;=(J716-Configuration!$C$5),"Tolerance","Refusal")))</f>
      </c>
      <c r="J716" s="10">
        <f>IFERROR(VLOOKUP(B716,'Plot Plan'!$A:$D,4,FALSE),"")</f>
      </c>
      <c r="K716" s="10">
        <f>IFERROR(VLOOKUP(B716,'Plot Plan'!$A:$B,2,FALSE),"")</f>
      </c>
      <c r="L716" s="10">
        <f>IFERROR(VLOOKUP(B716,'Plot Plan'!$A:$C,3,FALSE),"")</f>
      </c>
    </row>
    <row r="717" spans="1:12" x14ac:dyDescent="0.25">
      <c r="A717" s="13"/>
      <c r="B717" s="11"/>
      <c r="C717" s="11"/>
      <c r="D717" s="11"/>
      <c r="E717" s="11"/>
      <c r="F717" s="11">
        <f>IF(AND(D717&lt;&gt;"",E717&lt;&gt;""),((TIMEVALUE(E717)-TIMEVALUE(D717))*24*60),"")</f>
      </c>
      <c r="G717" s="11"/>
      <c r="H717" s="11"/>
      <c r="I717" s="11">
        <f>IF(G717="","Pending",IF(G717&gt;=J717,"Accepted",IF(G717&gt;=(J717-Configuration!$C$5),"Tolerance","Refusal")))</f>
      </c>
      <c r="J717" s="11">
        <f>IFERROR(VLOOKUP(B717,'Plot Plan'!$A:$D,4,FALSE),"")</f>
      </c>
      <c r="K717" s="11">
        <f>IFERROR(VLOOKUP(B717,'Plot Plan'!$A:$B,2,FALSE),"")</f>
      </c>
      <c r="L717" s="11">
        <f>IFERROR(VLOOKUP(B717,'Plot Plan'!$A:$C,3,FALSE),"")</f>
      </c>
    </row>
    <row r="718" spans="1:12" s="8" customFormat="1" x14ac:dyDescent="0.25">
      <c r="A718" s="12"/>
      <c r="B718" s="10"/>
      <c r="C718" s="10"/>
      <c r="D718" s="10"/>
      <c r="E718" s="10"/>
      <c r="F718" s="10">
        <f>IF(AND(D718&lt;&gt;"",E718&lt;&gt;""),((TIMEVALUE(E718)-TIMEVALUE(D718))*24*60),"")</f>
      </c>
      <c r="G718" s="10"/>
      <c r="H718" s="10"/>
      <c r="I718" s="10">
        <f>IF(G718="","Pending",IF(G718&gt;=J718,"Accepted",IF(G718&gt;=(J718-Configuration!$C$5),"Tolerance","Refusal")))</f>
      </c>
      <c r="J718" s="10">
        <f>IFERROR(VLOOKUP(B718,'Plot Plan'!$A:$D,4,FALSE),"")</f>
      </c>
      <c r="K718" s="10">
        <f>IFERROR(VLOOKUP(B718,'Plot Plan'!$A:$B,2,FALSE),"")</f>
      </c>
      <c r="L718" s="10">
        <f>IFERROR(VLOOKUP(B718,'Plot Plan'!$A:$C,3,FALSE),"")</f>
      </c>
    </row>
    <row r="719" spans="1:12" x14ac:dyDescent="0.25">
      <c r="A719" s="13"/>
      <c r="B719" s="11"/>
      <c r="C719" s="11"/>
      <c r="D719" s="11"/>
      <c r="E719" s="11"/>
      <c r="F719" s="11">
        <f>IF(AND(D719&lt;&gt;"",E719&lt;&gt;""),((TIMEVALUE(E719)-TIMEVALUE(D719))*24*60),"")</f>
      </c>
      <c r="G719" s="11"/>
      <c r="H719" s="11"/>
      <c r="I719" s="11">
        <f>IF(G719="","Pending",IF(G719&gt;=J719,"Accepted",IF(G719&gt;=(J719-Configuration!$C$5),"Tolerance","Refusal")))</f>
      </c>
      <c r="J719" s="11">
        <f>IFERROR(VLOOKUP(B719,'Plot Plan'!$A:$D,4,FALSE),"")</f>
      </c>
      <c r="K719" s="11">
        <f>IFERROR(VLOOKUP(B719,'Plot Plan'!$A:$B,2,FALSE),"")</f>
      </c>
      <c r="L719" s="11">
        <f>IFERROR(VLOOKUP(B719,'Plot Plan'!$A:$C,3,FALSE),"")</f>
      </c>
    </row>
    <row r="720" spans="1:12" s="8" customFormat="1" x14ac:dyDescent="0.25">
      <c r="A720" s="12"/>
      <c r="B720" s="10"/>
      <c r="C720" s="10"/>
      <c r="D720" s="10"/>
      <c r="E720" s="10"/>
      <c r="F720" s="10">
        <f>IF(AND(D720&lt;&gt;"",E720&lt;&gt;""),((TIMEVALUE(E720)-TIMEVALUE(D720))*24*60),"")</f>
      </c>
      <c r="G720" s="10"/>
      <c r="H720" s="10"/>
      <c r="I720" s="10">
        <f>IF(G720="","Pending",IF(G720&gt;=J720,"Accepted",IF(G720&gt;=(J720-Configuration!$C$5),"Tolerance","Refusal")))</f>
      </c>
      <c r="J720" s="10">
        <f>IFERROR(VLOOKUP(B720,'Plot Plan'!$A:$D,4,FALSE),"")</f>
      </c>
      <c r="K720" s="10">
        <f>IFERROR(VLOOKUP(B720,'Plot Plan'!$A:$B,2,FALSE),"")</f>
      </c>
      <c r="L720" s="10">
        <f>IFERROR(VLOOKUP(B720,'Plot Plan'!$A:$C,3,FALSE),"")</f>
      </c>
    </row>
    <row r="721" spans="1:12" x14ac:dyDescent="0.25">
      <c r="A721" s="13"/>
      <c r="B721" s="11"/>
      <c r="C721" s="11"/>
      <c r="D721" s="11"/>
      <c r="E721" s="11"/>
      <c r="F721" s="11">
        <f>IF(AND(D721&lt;&gt;"",E721&lt;&gt;""),((TIMEVALUE(E721)-TIMEVALUE(D721))*24*60),"")</f>
      </c>
      <c r="G721" s="11"/>
      <c r="H721" s="11"/>
      <c r="I721" s="11">
        <f>IF(G721="","Pending",IF(G721&gt;=J721,"Accepted",IF(G721&gt;=(J721-Configuration!$C$5),"Tolerance","Refusal")))</f>
      </c>
      <c r="J721" s="11">
        <f>IFERROR(VLOOKUP(B721,'Plot Plan'!$A:$D,4,FALSE),"")</f>
      </c>
      <c r="K721" s="11">
        <f>IFERROR(VLOOKUP(B721,'Plot Plan'!$A:$B,2,FALSE),"")</f>
      </c>
      <c r="L721" s="11">
        <f>IFERROR(VLOOKUP(B721,'Plot Plan'!$A:$C,3,FALSE),"")</f>
      </c>
    </row>
    <row r="722" spans="1:12" s="8" customFormat="1" x14ac:dyDescent="0.25">
      <c r="A722" s="12"/>
      <c r="B722" s="10"/>
      <c r="C722" s="10"/>
      <c r="D722" s="10"/>
      <c r="E722" s="10"/>
      <c r="F722" s="10">
        <f>IF(AND(D722&lt;&gt;"",E722&lt;&gt;""),((TIMEVALUE(E722)-TIMEVALUE(D722))*24*60),"")</f>
      </c>
      <c r="G722" s="10"/>
      <c r="H722" s="10"/>
      <c r="I722" s="10">
        <f>IF(G722="","Pending",IF(G722&gt;=J722,"Accepted",IF(G722&gt;=(J722-Configuration!$C$5),"Tolerance","Refusal")))</f>
      </c>
      <c r="J722" s="10">
        <f>IFERROR(VLOOKUP(B722,'Plot Plan'!$A:$D,4,FALSE),"")</f>
      </c>
      <c r="K722" s="10">
        <f>IFERROR(VLOOKUP(B722,'Plot Plan'!$A:$B,2,FALSE),"")</f>
      </c>
      <c r="L722" s="10">
        <f>IFERROR(VLOOKUP(B722,'Plot Plan'!$A:$C,3,FALSE),"")</f>
      </c>
    </row>
    <row r="723" spans="1:12" x14ac:dyDescent="0.25">
      <c r="A723" s="13"/>
      <c r="B723" s="11"/>
      <c r="C723" s="11"/>
      <c r="D723" s="11"/>
      <c r="E723" s="11"/>
      <c r="F723" s="11">
        <f>IF(AND(D723&lt;&gt;"",E723&lt;&gt;""),((TIMEVALUE(E723)-TIMEVALUE(D723))*24*60),"")</f>
      </c>
      <c r="G723" s="11"/>
      <c r="H723" s="11"/>
      <c r="I723" s="11">
        <f>IF(G723="","Pending",IF(G723&gt;=J723,"Accepted",IF(G723&gt;=(J723-Configuration!$C$5),"Tolerance","Refusal")))</f>
      </c>
      <c r="J723" s="11">
        <f>IFERROR(VLOOKUP(B723,'Plot Plan'!$A:$D,4,FALSE),"")</f>
      </c>
      <c r="K723" s="11">
        <f>IFERROR(VLOOKUP(B723,'Plot Plan'!$A:$B,2,FALSE),"")</f>
      </c>
      <c r="L723" s="11">
        <f>IFERROR(VLOOKUP(B723,'Plot Plan'!$A:$C,3,FALSE),"")</f>
      </c>
    </row>
    <row r="724" spans="1:12" s="8" customFormat="1" x14ac:dyDescent="0.25">
      <c r="A724" s="12"/>
      <c r="B724" s="10"/>
      <c r="C724" s="10"/>
      <c r="D724" s="10"/>
      <c r="E724" s="10"/>
      <c r="F724" s="10">
        <f>IF(AND(D724&lt;&gt;"",E724&lt;&gt;""),((TIMEVALUE(E724)-TIMEVALUE(D724))*24*60),"")</f>
      </c>
      <c r="G724" s="10"/>
      <c r="H724" s="10"/>
      <c r="I724" s="10">
        <f>IF(G724="","Pending",IF(G724&gt;=J724,"Accepted",IF(G724&gt;=(J724-Configuration!$C$5),"Tolerance","Refusal")))</f>
      </c>
      <c r="J724" s="10">
        <f>IFERROR(VLOOKUP(B724,'Plot Plan'!$A:$D,4,FALSE),"")</f>
      </c>
      <c r="K724" s="10">
        <f>IFERROR(VLOOKUP(B724,'Plot Plan'!$A:$B,2,FALSE),"")</f>
      </c>
      <c r="L724" s="10">
        <f>IFERROR(VLOOKUP(B724,'Plot Plan'!$A:$C,3,FALSE),"")</f>
      </c>
    </row>
    <row r="725" spans="1:12" x14ac:dyDescent="0.25">
      <c r="A725" s="13"/>
      <c r="B725" s="11"/>
      <c r="C725" s="11"/>
      <c r="D725" s="11"/>
      <c r="E725" s="11"/>
      <c r="F725" s="11">
        <f>IF(AND(D725&lt;&gt;"",E725&lt;&gt;""),((TIMEVALUE(E725)-TIMEVALUE(D725))*24*60),"")</f>
      </c>
      <c r="G725" s="11"/>
      <c r="H725" s="11"/>
      <c r="I725" s="11">
        <f>IF(G725="","Pending",IF(G725&gt;=J725,"Accepted",IF(G725&gt;=(J725-Configuration!$C$5),"Tolerance","Refusal")))</f>
      </c>
      <c r="J725" s="11">
        <f>IFERROR(VLOOKUP(B725,'Plot Plan'!$A:$D,4,FALSE),"")</f>
      </c>
      <c r="K725" s="11">
        <f>IFERROR(VLOOKUP(B725,'Plot Plan'!$A:$B,2,FALSE),"")</f>
      </c>
      <c r="L725" s="11">
        <f>IFERROR(VLOOKUP(B725,'Plot Plan'!$A:$C,3,FALSE),"")</f>
      </c>
    </row>
    <row r="726" spans="1:12" s="8" customFormat="1" x14ac:dyDescent="0.25">
      <c r="A726" s="12"/>
      <c r="B726" s="10"/>
      <c r="C726" s="10"/>
      <c r="D726" s="10"/>
      <c r="E726" s="10"/>
      <c r="F726" s="10">
        <f>IF(AND(D726&lt;&gt;"",E726&lt;&gt;""),((TIMEVALUE(E726)-TIMEVALUE(D726))*24*60),"")</f>
      </c>
      <c r="G726" s="10"/>
      <c r="H726" s="10"/>
      <c r="I726" s="10">
        <f>IF(G726="","Pending",IF(G726&gt;=J726,"Accepted",IF(G726&gt;=(J726-Configuration!$C$5),"Tolerance","Refusal")))</f>
      </c>
      <c r="J726" s="10">
        <f>IFERROR(VLOOKUP(B726,'Plot Plan'!$A:$D,4,FALSE),"")</f>
      </c>
      <c r="K726" s="10">
        <f>IFERROR(VLOOKUP(B726,'Plot Plan'!$A:$B,2,FALSE),"")</f>
      </c>
      <c r="L726" s="10">
        <f>IFERROR(VLOOKUP(B726,'Plot Plan'!$A:$C,3,FALSE),"")</f>
      </c>
    </row>
    <row r="727" spans="1:12" x14ac:dyDescent="0.25">
      <c r="A727" s="13"/>
      <c r="B727" s="11"/>
      <c r="C727" s="11"/>
      <c r="D727" s="11"/>
      <c r="E727" s="11"/>
      <c r="F727" s="11">
        <f>IF(AND(D727&lt;&gt;"",E727&lt;&gt;""),((TIMEVALUE(E727)-TIMEVALUE(D727))*24*60),"")</f>
      </c>
      <c r="G727" s="11"/>
      <c r="H727" s="11"/>
      <c r="I727" s="11">
        <f>IF(G727="","Pending",IF(G727&gt;=J727,"Accepted",IF(G727&gt;=(J727-Configuration!$C$5),"Tolerance","Refusal")))</f>
      </c>
      <c r="J727" s="11">
        <f>IFERROR(VLOOKUP(B727,'Plot Plan'!$A:$D,4,FALSE),"")</f>
      </c>
      <c r="K727" s="11">
        <f>IFERROR(VLOOKUP(B727,'Plot Plan'!$A:$B,2,FALSE),"")</f>
      </c>
      <c r="L727" s="11">
        <f>IFERROR(VLOOKUP(B727,'Plot Plan'!$A:$C,3,FALSE),"")</f>
      </c>
    </row>
    <row r="728" spans="1:12" s="8" customFormat="1" x14ac:dyDescent="0.25">
      <c r="A728" s="12"/>
      <c r="B728" s="10"/>
      <c r="C728" s="10"/>
      <c r="D728" s="10"/>
      <c r="E728" s="10"/>
      <c r="F728" s="10">
        <f>IF(AND(D728&lt;&gt;"",E728&lt;&gt;""),((TIMEVALUE(E728)-TIMEVALUE(D728))*24*60),"")</f>
      </c>
      <c r="G728" s="10"/>
      <c r="H728" s="10"/>
      <c r="I728" s="10">
        <f>IF(G728="","Pending",IF(G728&gt;=J728,"Accepted",IF(G728&gt;=(J728-Configuration!$C$5),"Tolerance","Refusal")))</f>
      </c>
      <c r="J728" s="10">
        <f>IFERROR(VLOOKUP(B728,'Plot Plan'!$A:$D,4,FALSE),"")</f>
      </c>
      <c r="K728" s="10">
        <f>IFERROR(VLOOKUP(B728,'Plot Plan'!$A:$B,2,FALSE),"")</f>
      </c>
      <c r="L728" s="10">
        <f>IFERROR(VLOOKUP(B728,'Plot Plan'!$A:$C,3,FALSE),"")</f>
      </c>
    </row>
    <row r="729" spans="1:12" x14ac:dyDescent="0.25">
      <c r="A729" s="13"/>
      <c r="B729" s="11"/>
      <c r="C729" s="11"/>
      <c r="D729" s="11"/>
      <c r="E729" s="11"/>
      <c r="F729" s="11">
        <f>IF(AND(D729&lt;&gt;"",E729&lt;&gt;""),((TIMEVALUE(E729)-TIMEVALUE(D729))*24*60),"")</f>
      </c>
      <c r="G729" s="11"/>
      <c r="H729" s="11"/>
      <c r="I729" s="11">
        <f>IF(G729="","Pending",IF(G729&gt;=J729,"Accepted",IF(G729&gt;=(J729-Configuration!$C$5),"Tolerance","Refusal")))</f>
      </c>
      <c r="J729" s="11">
        <f>IFERROR(VLOOKUP(B729,'Plot Plan'!$A:$D,4,FALSE),"")</f>
      </c>
      <c r="K729" s="11">
        <f>IFERROR(VLOOKUP(B729,'Plot Plan'!$A:$B,2,FALSE),"")</f>
      </c>
      <c r="L729" s="11">
        <f>IFERROR(VLOOKUP(B729,'Plot Plan'!$A:$C,3,FALSE),"")</f>
      </c>
    </row>
    <row r="730" spans="1:12" s="8" customFormat="1" x14ac:dyDescent="0.25">
      <c r="A730" s="12"/>
      <c r="B730" s="10"/>
      <c r="C730" s="10"/>
      <c r="D730" s="10"/>
      <c r="E730" s="10"/>
      <c r="F730" s="10">
        <f>IF(AND(D730&lt;&gt;"",E730&lt;&gt;""),((TIMEVALUE(E730)-TIMEVALUE(D730))*24*60),"")</f>
      </c>
      <c r="G730" s="10"/>
      <c r="H730" s="10"/>
      <c r="I730" s="10">
        <f>IF(G730="","Pending",IF(G730&gt;=J730,"Accepted",IF(G730&gt;=(J730-Configuration!$C$5),"Tolerance","Refusal")))</f>
      </c>
      <c r="J730" s="10">
        <f>IFERROR(VLOOKUP(B730,'Plot Plan'!$A:$D,4,FALSE),"")</f>
      </c>
      <c r="K730" s="10">
        <f>IFERROR(VLOOKUP(B730,'Plot Plan'!$A:$B,2,FALSE),"")</f>
      </c>
      <c r="L730" s="10">
        <f>IFERROR(VLOOKUP(B730,'Plot Plan'!$A:$C,3,FALSE),"")</f>
      </c>
    </row>
    <row r="731" spans="1:12" x14ac:dyDescent="0.25">
      <c r="A731" s="13"/>
      <c r="B731" s="11"/>
      <c r="C731" s="11"/>
      <c r="D731" s="11"/>
      <c r="E731" s="11"/>
      <c r="F731" s="11">
        <f>IF(AND(D731&lt;&gt;"",E731&lt;&gt;""),((TIMEVALUE(E731)-TIMEVALUE(D731))*24*60),"")</f>
      </c>
      <c r="G731" s="11"/>
      <c r="H731" s="11"/>
      <c r="I731" s="11">
        <f>IF(G731="","Pending",IF(G731&gt;=J731,"Accepted",IF(G731&gt;=(J731-Configuration!$C$5),"Tolerance","Refusal")))</f>
      </c>
      <c r="J731" s="11">
        <f>IFERROR(VLOOKUP(B731,'Plot Plan'!$A:$D,4,FALSE),"")</f>
      </c>
      <c r="K731" s="11">
        <f>IFERROR(VLOOKUP(B731,'Plot Plan'!$A:$B,2,FALSE),"")</f>
      </c>
      <c r="L731" s="11">
        <f>IFERROR(VLOOKUP(B731,'Plot Plan'!$A:$C,3,FALSE),"")</f>
      </c>
    </row>
    <row r="732" spans="1:12" s="8" customFormat="1" x14ac:dyDescent="0.25">
      <c r="A732" s="12"/>
      <c r="B732" s="10"/>
      <c r="C732" s="10"/>
      <c r="D732" s="10"/>
      <c r="E732" s="10"/>
      <c r="F732" s="10">
        <f>IF(AND(D732&lt;&gt;"",E732&lt;&gt;""),((TIMEVALUE(E732)-TIMEVALUE(D732))*24*60),"")</f>
      </c>
      <c r="G732" s="10"/>
      <c r="H732" s="10"/>
      <c r="I732" s="10">
        <f>IF(G732="","Pending",IF(G732&gt;=J732,"Accepted",IF(G732&gt;=(J732-Configuration!$C$5),"Tolerance","Refusal")))</f>
      </c>
      <c r="J732" s="10">
        <f>IFERROR(VLOOKUP(B732,'Plot Plan'!$A:$D,4,FALSE),"")</f>
      </c>
      <c r="K732" s="10">
        <f>IFERROR(VLOOKUP(B732,'Plot Plan'!$A:$B,2,FALSE),"")</f>
      </c>
      <c r="L732" s="10">
        <f>IFERROR(VLOOKUP(B732,'Plot Plan'!$A:$C,3,FALSE),"")</f>
      </c>
    </row>
    <row r="733" spans="1:12" x14ac:dyDescent="0.25">
      <c r="A733" s="13"/>
      <c r="B733" s="11"/>
      <c r="C733" s="11"/>
      <c r="D733" s="11"/>
      <c r="E733" s="11"/>
      <c r="F733" s="11">
        <f>IF(AND(D733&lt;&gt;"",E733&lt;&gt;""),((TIMEVALUE(E733)-TIMEVALUE(D733))*24*60),"")</f>
      </c>
      <c r="G733" s="11"/>
      <c r="H733" s="11"/>
      <c r="I733" s="11">
        <f>IF(G733="","Pending",IF(G733&gt;=J733,"Accepted",IF(G733&gt;=(J733-Configuration!$C$5),"Tolerance","Refusal")))</f>
      </c>
      <c r="J733" s="11">
        <f>IFERROR(VLOOKUP(B733,'Plot Plan'!$A:$D,4,FALSE),"")</f>
      </c>
      <c r="K733" s="11">
        <f>IFERROR(VLOOKUP(B733,'Plot Plan'!$A:$B,2,FALSE),"")</f>
      </c>
      <c r="L733" s="11">
        <f>IFERROR(VLOOKUP(B733,'Plot Plan'!$A:$C,3,FALSE),"")</f>
      </c>
    </row>
    <row r="734" spans="1:12" s="8" customFormat="1" x14ac:dyDescent="0.25">
      <c r="A734" s="12"/>
      <c r="B734" s="10"/>
      <c r="C734" s="10"/>
      <c r="D734" s="10"/>
      <c r="E734" s="10"/>
      <c r="F734" s="10">
        <f>IF(AND(D734&lt;&gt;"",E734&lt;&gt;""),((TIMEVALUE(E734)-TIMEVALUE(D734))*24*60),"")</f>
      </c>
      <c r="G734" s="10"/>
      <c r="H734" s="10"/>
      <c r="I734" s="10">
        <f>IF(G734="","Pending",IF(G734&gt;=J734,"Accepted",IF(G734&gt;=(J734-Configuration!$C$5),"Tolerance","Refusal")))</f>
      </c>
      <c r="J734" s="10">
        <f>IFERROR(VLOOKUP(B734,'Plot Plan'!$A:$D,4,FALSE),"")</f>
      </c>
      <c r="K734" s="10">
        <f>IFERROR(VLOOKUP(B734,'Plot Plan'!$A:$B,2,FALSE),"")</f>
      </c>
      <c r="L734" s="10">
        <f>IFERROR(VLOOKUP(B734,'Plot Plan'!$A:$C,3,FALSE),"")</f>
      </c>
    </row>
    <row r="735" spans="1:12" x14ac:dyDescent="0.25">
      <c r="A735" s="13"/>
      <c r="B735" s="11"/>
      <c r="C735" s="11"/>
      <c r="D735" s="11"/>
      <c r="E735" s="11"/>
      <c r="F735" s="11">
        <f>IF(AND(D735&lt;&gt;"",E735&lt;&gt;""),((TIMEVALUE(E735)-TIMEVALUE(D735))*24*60),"")</f>
      </c>
      <c r="G735" s="11"/>
      <c r="H735" s="11"/>
      <c r="I735" s="11">
        <f>IF(G735="","Pending",IF(G735&gt;=J735,"Accepted",IF(G735&gt;=(J735-Configuration!$C$5),"Tolerance","Refusal")))</f>
      </c>
      <c r="J735" s="11">
        <f>IFERROR(VLOOKUP(B735,'Plot Plan'!$A:$D,4,FALSE),"")</f>
      </c>
      <c r="K735" s="11">
        <f>IFERROR(VLOOKUP(B735,'Plot Plan'!$A:$B,2,FALSE),"")</f>
      </c>
      <c r="L735" s="11">
        <f>IFERROR(VLOOKUP(B735,'Plot Plan'!$A:$C,3,FALSE),"")</f>
      </c>
    </row>
    <row r="736" spans="1:12" s="8" customFormat="1" x14ac:dyDescent="0.25">
      <c r="A736" s="12"/>
      <c r="B736" s="10"/>
      <c r="C736" s="10"/>
      <c r="D736" s="10"/>
      <c r="E736" s="10"/>
      <c r="F736" s="10">
        <f>IF(AND(D736&lt;&gt;"",E736&lt;&gt;""),((TIMEVALUE(E736)-TIMEVALUE(D736))*24*60),"")</f>
      </c>
      <c r="G736" s="10"/>
      <c r="H736" s="10"/>
      <c r="I736" s="10">
        <f>IF(G736="","Pending",IF(G736&gt;=J736,"Accepted",IF(G736&gt;=(J736-Configuration!$C$5),"Tolerance","Refusal")))</f>
      </c>
      <c r="J736" s="10">
        <f>IFERROR(VLOOKUP(B736,'Plot Plan'!$A:$D,4,FALSE),"")</f>
      </c>
      <c r="K736" s="10">
        <f>IFERROR(VLOOKUP(B736,'Plot Plan'!$A:$B,2,FALSE),"")</f>
      </c>
      <c r="L736" s="10">
        <f>IFERROR(VLOOKUP(B736,'Plot Plan'!$A:$C,3,FALSE),"")</f>
      </c>
    </row>
    <row r="737" spans="1:12" x14ac:dyDescent="0.25">
      <c r="A737" s="13"/>
      <c r="B737" s="11"/>
      <c r="C737" s="11"/>
      <c r="D737" s="11"/>
      <c r="E737" s="11"/>
      <c r="F737" s="11">
        <f>IF(AND(D737&lt;&gt;"",E737&lt;&gt;""),((TIMEVALUE(E737)-TIMEVALUE(D737))*24*60),"")</f>
      </c>
      <c r="G737" s="11"/>
      <c r="H737" s="11"/>
      <c r="I737" s="11">
        <f>IF(G737="","Pending",IF(G737&gt;=J737,"Accepted",IF(G737&gt;=(J737-Configuration!$C$5),"Tolerance","Refusal")))</f>
      </c>
      <c r="J737" s="11">
        <f>IFERROR(VLOOKUP(B737,'Plot Plan'!$A:$D,4,FALSE),"")</f>
      </c>
      <c r="K737" s="11">
        <f>IFERROR(VLOOKUP(B737,'Plot Plan'!$A:$B,2,FALSE),"")</f>
      </c>
      <c r="L737" s="11">
        <f>IFERROR(VLOOKUP(B737,'Plot Plan'!$A:$C,3,FALSE),"")</f>
      </c>
    </row>
    <row r="738" spans="1:12" s="8" customFormat="1" x14ac:dyDescent="0.25">
      <c r="A738" s="12"/>
      <c r="B738" s="10"/>
      <c r="C738" s="10"/>
      <c r="D738" s="10"/>
      <c r="E738" s="10"/>
      <c r="F738" s="10">
        <f>IF(AND(D738&lt;&gt;"",E738&lt;&gt;""),((TIMEVALUE(E738)-TIMEVALUE(D738))*24*60),"")</f>
      </c>
      <c r="G738" s="10"/>
      <c r="H738" s="10"/>
      <c r="I738" s="10">
        <f>IF(G738="","Pending",IF(G738&gt;=J738,"Accepted",IF(G738&gt;=(J738-Configuration!$C$5),"Tolerance","Refusal")))</f>
      </c>
      <c r="J738" s="10">
        <f>IFERROR(VLOOKUP(B738,'Plot Plan'!$A:$D,4,FALSE),"")</f>
      </c>
      <c r="K738" s="10">
        <f>IFERROR(VLOOKUP(B738,'Plot Plan'!$A:$B,2,FALSE),"")</f>
      </c>
      <c r="L738" s="10">
        <f>IFERROR(VLOOKUP(B738,'Plot Plan'!$A:$C,3,FALSE),"")</f>
      </c>
    </row>
    <row r="739" spans="1:12" x14ac:dyDescent="0.25">
      <c r="A739" s="13"/>
      <c r="B739" s="11"/>
      <c r="C739" s="11"/>
      <c r="D739" s="11"/>
      <c r="E739" s="11"/>
      <c r="F739" s="11">
        <f>IF(AND(D739&lt;&gt;"",E739&lt;&gt;""),((TIMEVALUE(E739)-TIMEVALUE(D739))*24*60),"")</f>
      </c>
      <c r="G739" s="11"/>
      <c r="H739" s="11"/>
      <c r="I739" s="11">
        <f>IF(G739="","Pending",IF(G739&gt;=J739,"Accepted",IF(G739&gt;=(J739-Configuration!$C$5),"Tolerance","Refusal")))</f>
      </c>
      <c r="J739" s="11">
        <f>IFERROR(VLOOKUP(B739,'Plot Plan'!$A:$D,4,FALSE),"")</f>
      </c>
      <c r="K739" s="11">
        <f>IFERROR(VLOOKUP(B739,'Plot Plan'!$A:$B,2,FALSE),"")</f>
      </c>
      <c r="L739" s="11">
        <f>IFERROR(VLOOKUP(B739,'Plot Plan'!$A:$C,3,FALSE),"")</f>
      </c>
    </row>
    <row r="740" spans="1:12" s="8" customFormat="1" x14ac:dyDescent="0.25">
      <c r="A740" s="12"/>
      <c r="B740" s="10"/>
      <c r="C740" s="10"/>
      <c r="D740" s="10"/>
      <c r="E740" s="10"/>
      <c r="F740" s="10">
        <f>IF(AND(D740&lt;&gt;"",E740&lt;&gt;""),((TIMEVALUE(E740)-TIMEVALUE(D740))*24*60),"")</f>
      </c>
      <c r="G740" s="10"/>
      <c r="H740" s="10"/>
      <c r="I740" s="10">
        <f>IF(G740="","Pending",IF(G740&gt;=J740,"Accepted",IF(G740&gt;=(J740-Configuration!$C$5),"Tolerance","Refusal")))</f>
      </c>
      <c r="J740" s="10">
        <f>IFERROR(VLOOKUP(B740,'Plot Plan'!$A:$D,4,FALSE),"")</f>
      </c>
      <c r="K740" s="10">
        <f>IFERROR(VLOOKUP(B740,'Plot Plan'!$A:$B,2,FALSE),"")</f>
      </c>
      <c r="L740" s="10">
        <f>IFERROR(VLOOKUP(B740,'Plot Plan'!$A:$C,3,FALSE),"")</f>
      </c>
    </row>
    <row r="741" spans="1:12" x14ac:dyDescent="0.25">
      <c r="A741" s="13"/>
      <c r="B741" s="11"/>
      <c r="C741" s="11"/>
      <c r="D741" s="11"/>
      <c r="E741" s="11"/>
      <c r="F741" s="11">
        <f>IF(AND(D741&lt;&gt;"",E741&lt;&gt;""),((TIMEVALUE(E741)-TIMEVALUE(D741))*24*60),"")</f>
      </c>
      <c r="G741" s="11"/>
      <c r="H741" s="11"/>
      <c r="I741" s="11">
        <f>IF(G741="","Pending",IF(G741&gt;=J741,"Accepted",IF(G741&gt;=(J741-Configuration!$C$5),"Tolerance","Refusal")))</f>
      </c>
      <c r="J741" s="11">
        <f>IFERROR(VLOOKUP(B741,'Plot Plan'!$A:$D,4,FALSE),"")</f>
      </c>
      <c r="K741" s="11">
        <f>IFERROR(VLOOKUP(B741,'Plot Plan'!$A:$B,2,FALSE),"")</f>
      </c>
      <c r="L741" s="11">
        <f>IFERROR(VLOOKUP(B741,'Plot Plan'!$A:$C,3,FALSE),"")</f>
      </c>
    </row>
    <row r="742" spans="1:12" s="8" customFormat="1" x14ac:dyDescent="0.25">
      <c r="A742" s="12"/>
      <c r="B742" s="10"/>
      <c r="C742" s="10"/>
      <c r="D742" s="10"/>
      <c r="E742" s="10"/>
      <c r="F742" s="10">
        <f>IF(AND(D742&lt;&gt;"",E742&lt;&gt;""),((TIMEVALUE(E742)-TIMEVALUE(D742))*24*60),"")</f>
      </c>
      <c r="G742" s="10"/>
      <c r="H742" s="10"/>
      <c r="I742" s="10">
        <f>IF(G742="","Pending",IF(G742&gt;=J742,"Accepted",IF(G742&gt;=(J742-Configuration!$C$5),"Tolerance","Refusal")))</f>
      </c>
      <c r="J742" s="10">
        <f>IFERROR(VLOOKUP(B742,'Plot Plan'!$A:$D,4,FALSE),"")</f>
      </c>
      <c r="K742" s="10">
        <f>IFERROR(VLOOKUP(B742,'Plot Plan'!$A:$B,2,FALSE),"")</f>
      </c>
      <c r="L742" s="10">
        <f>IFERROR(VLOOKUP(B742,'Plot Plan'!$A:$C,3,FALSE),"")</f>
      </c>
    </row>
    <row r="743" spans="1:12" x14ac:dyDescent="0.25">
      <c r="A743" s="13"/>
      <c r="B743" s="11"/>
      <c r="C743" s="11"/>
      <c r="D743" s="11"/>
      <c r="E743" s="11"/>
      <c r="F743" s="11">
        <f>IF(AND(D743&lt;&gt;"",E743&lt;&gt;""),((TIMEVALUE(E743)-TIMEVALUE(D743))*24*60),"")</f>
      </c>
      <c r="G743" s="11"/>
      <c r="H743" s="11"/>
      <c r="I743" s="11">
        <f>IF(G743="","Pending",IF(G743&gt;=J743,"Accepted",IF(G743&gt;=(J743-Configuration!$C$5),"Tolerance","Refusal")))</f>
      </c>
      <c r="J743" s="11">
        <f>IFERROR(VLOOKUP(B743,'Plot Plan'!$A:$D,4,FALSE),"")</f>
      </c>
      <c r="K743" s="11">
        <f>IFERROR(VLOOKUP(B743,'Plot Plan'!$A:$B,2,FALSE),"")</f>
      </c>
      <c r="L743" s="11">
        <f>IFERROR(VLOOKUP(B743,'Plot Plan'!$A:$C,3,FALSE),"")</f>
      </c>
    </row>
    <row r="744" spans="1:12" s="8" customFormat="1" x14ac:dyDescent="0.25">
      <c r="A744" s="12"/>
      <c r="B744" s="10"/>
      <c r="C744" s="10"/>
      <c r="D744" s="10"/>
      <c r="E744" s="10"/>
      <c r="F744" s="10">
        <f>IF(AND(D744&lt;&gt;"",E744&lt;&gt;""),((TIMEVALUE(E744)-TIMEVALUE(D744))*24*60),"")</f>
      </c>
      <c r="G744" s="10"/>
      <c r="H744" s="10"/>
      <c r="I744" s="10">
        <f>IF(G744="","Pending",IF(G744&gt;=J744,"Accepted",IF(G744&gt;=(J744-Configuration!$C$5),"Tolerance","Refusal")))</f>
      </c>
      <c r="J744" s="10">
        <f>IFERROR(VLOOKUP(B744,'Plot Plan'!$A:$D,4,FALSE),"")</f>
      </c>
      <c r="K744" s="10">
        <f>IFERROR(VLOOKUP(B744,'Plot Plan'!$A:$B,2,FALSE),"")</f>
      </c>
      <c r="L744" s="10">
        <f>IFERROR(VLOOKUP(B744,'Plot Plan'!$A:$C,3,FALSE),"")</f>
      </c>
    </row>
    <row r="745" spans="1:12" x14ac:dyDescent="0.25">
      <c r="A745" s="13"/>
      <c r="B745" s="11"/>
      <c r="C745" s="11"/>
      <c r="D745" s="11"/>
      <c r="E745" s="11"/>
      <c r="F745" s="11">
        <f>IF(AND(D745&lt;&gt;"",E745&lt;&gt;""),((TIMEVALUE(E745)-TIMEVALUE(D745))*24*60),"")</f>
      </c>
      <c r="G745" s="11"/>
      <c r="H745" s="11"/>
      <c r="I745" s="11">
        <f>IF(G745="","Pending",IF(G745&gt;=J745,"Accepted",IF(G745&gt;=(J745-Configuration!$C$5),"Tolerance","Refusal")))</f>
      </c>
      <c r="J745" s="11">
        <f>IFERROR(VLOOKUP(B745,'Plot Plan'!$A:$D,4,FALSE),"")</f>
      </c>
      <c r="K745" s="11">
        <f>IFERROR(VLOOKUP(B745,'Plot Plan'!$A:$B,2,FALSE),"")</f>
      </c>
      <c r="L745" s="11">
        <f>IFERROR(VLOOKUP(B745,'Plot Plan'!$A:$C,3,FALSE),"")</f>
      </c>
    </row>
    <row r="746" spans="1:12" s="8" customFormat="1" x14ac:dyDescent="0.25">
      <c r="A746" s="12"/>
      <c r="B746" s="10"/>
      <c r="C746" s="10"/>
      <c r="D746" s="10"/>
      <c r="E746" s="10"/>
      <c r="F746" s="10">
        <f>IF(AND(D746&lt;&gt;"",E746&lt;&gt;""),((TIMEVALUE(E746)-TIMEVALUE(D746))*24*60),"")</f>
      </c>
      <c r="G746" s="10"/>
      <c r="H746" s="10"/>
      <c r="I746" s="10">
        <f>IF(G746="","Pending",IF(G746&gt;=J746,"Accepted",IF(G746&gt;=(J746-Configuration!$C$5),"Tolerance","Refusal")))</f>
      </c>
      <c r="J746" s="10">
        <f>IFERROR(VLOOKUP(B746,'Plot Plan'!$A:$D,4,FALSE),"")</f>
      </c>
      <c r="K746" s="10">
        <f>IFERROR(VLOOKUP(B746,'Plot Plan'!$A:$B,2,FALSE),"")</f>
      </c>
      <c r="L746" s="10">
        <f>IFERROR(VLOOKUP(B746,'Plot Plan'!$A:$C,3,FALSE),"")</f>
      </c>
    </row>
    <row r="747" spans="1:12" x14ac:dyDescent="0.25">
      <c r="A747" s="13"/>
      <c r="B747" s="11"/>
      <c r="C747" s="11"/>
      <c r="D747" s="11"/>
      <c r="E747" s="11"/>
      <c r="F747" s="11">
        <f>IF(AND(D747&lt;&gt;"",E747&lt;&gt;""),((TIMEVALUE(E747)-TIMEVALUE(D747))*24*60),"")</f>
      </c>
      <c r="G747" s="11"/>
      <c r="H747" s="11"/>
      <c r="I747" s="11">
        <f>IF(G747="","Pending",IF(G747&gt;=J747,"Accepted",IF(G747&gt;=(J747-Configuration!$C$5),"Tolerance","Refusal")))</f>
      </c>
      <c r="J747" s="11">
        <f>IFERROR(VLOOKUP(B747,'Plot Plan'!$A:$D,4,FALSE),"")</f>
      </c>
      <c r="K747" s="11">
        <f>IFERROR(VLOOKUP(B747,'Plot Plan'!$A:$B,2,FALSE),"")</f>
      </c>
      <c r="L747" s="11">
        <f>IFERROR(VLOOKUP(B747,'Plot Plan'!$A:$C,3,FALSE),"")</f>
      </c>
    </row>
    <row r="748" spans="1:12" s="8" customFormat="1" x14ac:dyDescent="0.25">
      <c r="A748" s="12"/>
      <c r="B748" s="10"/>
      <c r="C748" s="10"/>
      <c r="D748" s="10"/>
      <c r="E748" s="10"/>
      <c r="F748" s="10">
        <f>IF(AND(D748&lt;&gt;"",E748&lt;&gt;""),((TIMEVALUE(E748)-TIMEVALUE(D748))*24*60),"")</f>
      </c>
      <c r="G748" s="10"/>
      <c r="H748" s="10"/>
      <c r="I748" s="10">
        <f>IF(G748="","Pending",IF(G748&gt;=J748,"Accepted",IF(G748&gt;=(J748-Configuration!$C$5),"Tolerance","Refusal")))</f>
      </c>
      <c r="J748" s="10">
        <f>IFERROR(VLOOKUP(B748,'Plot Plan'!$A:$D,4,FALSE),"")</f>
      </c>
      <c r="K748" s="10">
        <f>IFERROR(VLOOKUP(B748,'Plot Plan'!$A:$B,2,FALSE),"")</f>
      </c>
      <c r="L748" s="10">
        <f>IFERROR(VLOOKUP(B748,'Plot Plan'!$A:$C,3,FALSE),"")</f>
      </c>
    </row>
    <row r="749" spans="1:12" x14ac:dyDescent="0.25">
      <c r="A749" s="13"/>
      <c r="B749" s="11"/>
      <c r="C749" s="11"/>
      <c r="D749" s="11"/>
      <c r="E749" s="11"/>
      <c r="F749" s="11">
        <f>IF(AND(D749&lt;&gt;"",E749&lt;&gt;""),((TIMEVALUE(E749)-TIMEVALUE(D749))*24*60),"")</f>
      </c>
      <c r="G749" s="11"/>
      <c r="H749" s="11"/>
      <c r="I749" s="11">
        <f>IF(G749="","Pending",IF(G749&gt;=J749,"Accepted",IF(G749&gt;=(J749-Configuration!$C$5),"Tolerance","Refusal")))</f>
      </c>
      <c r="J749" s="11">
        <f>IFERROR(VLOOKUP(B749,'Plot Plan'!$A:$D,4,FALSE),"")</f>
      </c>
      <c r="K749" s="11">
        <f>IFERROR(VLOOKUP(B749,'Plot Plan'!$A:$B,2,FALSE),"")</f>
      </c>
      <c r="L749" s="11">
        <f>IFERROR(VLOOKUP(B749,'Plot Plan'!$A:$C,3,FALSE),"")</f>
      </c>
    </row>
    <row r="750" spans="1:12" s="8" customFormat="1" x14ac:dyDescent="0.25">
      <c r="A750" s="12"/>
      <c r="B750" s="10"/>
      <c r="C750" s="10"/>
      <c r="D750" s="10"/>
      <c r="E750" s="10"/>
      <c r="F750" s="10">
        <f>IF(AND(D750&lt;&gt;"",E750&lt;&gt;""),((TIMEVALUE(E750)-TIMEVALUE(D750))*24*60),"")</f>
      </c>
      <c r="G750" s="10"/>
      <c r="H750" s="10"/>
      <c r="I750" s="10">
        <f>IF(G750="","Pending",IF(G750&gt;=J750,"Accepted",IF(G750&gt;=(J750-Configuration!$C$5),"Tolerance","Refusal")))</f>
      </c>
      <c r="J750" s="10">
        <f>IFERROR(VLOOKUP(B750,'Plot Plan'!$A:$D,4,FALSE),"")</f>
      </c>
      <c r="K750" s="10">
        <f>IFERROR(VLOOKUP(B750,'Plot Plan'!$A:$B,2,FALSE),"")</f>
      </c>
      <c r="L750" s="10">
        <f>IFERROR(VLOOKUP(B750,'Plot Plan'!$A:$C,3,FALSE),"")</f>
      </c>
    </row>
    <row r="751" spans="1:12" x14ac:dyDescent="0.25">
      <c r="A751" s="13"/>
      <c r="B751" s="11"/>
      <c r="C751" s="11"/>
      <c r="D751" s="11"/>
      <c r="E751" s="11"/>
      <c r="F751" s="11">
        <f>IF(AND(D751&lt;&gt;"",E751&lt;&gt;""),((TIMEVALUE(E751)-TIMEVALUE(D751))*24*60),"")</f>
      </c>
      <c r="G751" s="11"/>
      <c r="H751" s="11"/>
      <c r="I751" s="11">
        <f>IF(G751="","Pending",IF(G751&gt;=J751,"Accepted",IF(G751&gt;=(J751-Configuration!$C$5),"Tolerance","Refusal")))</f>
      </c>
      <c r="J751" s="11">
        <f>IFERROR(VLOOKUP(B751,'Plot Plan'!$A:$D,4,FALSE),"")</f>
      </c>
      <c r="K751" s="11">
        <f>IFERROR(VLOOKUP(B751,'Plot Plan'!$A:$B,2,FALSE),"")</f>
      </c>
      <c r="L751" s="11">
        <f>IFERROR(VLOOKUP(B751,'Plot Plan'!$A:$C,3,FALSE),"")</f>
      </c>
    </row>
    <row r="752" spans="1:12" s="8" customFormat="1" x14ac:dyDescent="0.25">
      <c r="A752" s="12"/>
      <c r="B752" s="10"/>
      <c r="C752" s="10"/>
      <c r="D752" s="10"/>
      <c r="E752" s="10"/>
      <c r="F752" s="10">
        <f>IF(AND(D752&lt;&gt;"",E752&lt;&gt;""),((TIMEVALUE(E752)-TIMEVALUE(D752))*24*60),"")</f>
      </c>
      <c r="G752" s="10"/>
      <c r="H752" s="10"/>
      <c r="I752" s="10">
        <f>IF(G752="","Pending",IF(G752&gt;=J752,"Accepted",IF(G752&gt;=(J752-Configuration!$C$5),"Tolerance","Refusal")))</f>
      </c>
      <c r="J752" s="10">
        <f>IFERROR(VLOOKUP(B752,'Plot Plan'!$A:$D,4,FALSE),"")</f>
      </c>
      <c r="K752" s="10">
        <f>IFERROR(VLOOKUP(B752,'Plot Plan'!$A:$B,2,FALSE),"")</f>
      </c>
      <c r="L752" s="10">
        <f>IFERROR(VLOOKUP(B752,'Plot Plan'!$A:$C,3,FALSE),"")</f>
      </c>
    </row>
    <row r="753" spans="1:12" x14ac:dyDescent="0.25">
      <c r="A753" s="13"/>
      <c r="B753" s="11"/>
      <c r="C753" s="11"/>
      <c r="D753" s="11"/>
      <c r="E753" s="11"/>
      <c r="F753" s="11">
        <f>IF(AND(D753&lt;&gt;"",E753&lt;&gt;""),((TIMEVALUE(E753)-TIMEVALUE(D753))*24*60),"")</f>
      </c>
      <c r="G753" s="11"/>
      <c r="H753" s="11"/>
      <c r="I753" s="11">
        <f>IF(G753="","Pending",IF(G753&gt;=J753,"Accepted",IF(G753&gt;=(J753-Configuration!$C$5),"Tolerance","Refusal")))</f>
      </c>
      <c r="J753" s="11">
        <f>IFERROR(VLOOKUP(B753,'Plot Plan'!$A:$D,4,FALSE),"")</f>
      </c>
      <c r="K753" s="11">
        <f>IFERROR(VLOOKUP(B753,'Plot Plan'!$A:$B,2,FALSE),"")</f>
      </c>
      <c r="L753" s="11">
        <f>IFERROR(VLOOKUP(B753,'Plot Plan'!$A:$C,3,FALSE),"")</f>
      </c>
    </row>
    <row r="754" spans="1:12" s="8" customFormat="1" x14ac:dyDescent="0.25">
      <c r="A754" s="12"/>
      <c r="B754" s="10"/>
      <c r="C754" s="10"/>
      <c r="D754" s="10"/>
      <c r="E754" s="10"/>
      <c r="F754" s="10">
        <f>IF(AND(D754&lt;&gt;"",E754&lt;&gt;""),((TIMEVALUE(E754)-TIMEVALUE(D754))*24*60),"")</f>
      </c>
      <c r="G754" s="10"/>
      <c r="H754" s="10"/>
      <c r="I754" s="10">
        <f>IF(G754="","Pending",IF(G754&gt;=J754,"Accepted",IF(G754&gt;=(J754-Configuration!$C$5),"Tolerance","Refusal")))</f>
      </c>
      <c r="J754" s="10">
        <f>IFERROR(VLOOKUP(B754,'Plot Plan'!$A:$D,4,FALSE),"")</f>
      </c>
      <c r="K754" s="10">
        <f>IFERROR(VLOOKUP(B754,'Plot Plan'!$A:$B,2,FALSE),"")</f>
      </c>
      <c r="L754" s="10">
        <f>IFERROR(VLOOKUP(B754,'Plot Plan'!$A:$C,3,FALSE),"")</f>
      </c>
    </row>
    <row r="755" spans="1:12" x14ac:dyDescent="0.25">
      <c r="A755" s="13"/>
      <c r="B755" s="11"/>
      <c r="C755" s="11"/>
      <c r="D755" s="11"/>
      <c r="E755" s="11"/>
      <c r="F755" s="11">
        <f>IF(AND(D755&lt;&gt;"",E755&lt;&gt;""),((TIMEVALUE(E755)-TIMEVALUE(D755))*24*60),"")</f>
      </c>
      <c r="G755" s="11"/>
      <c r="H755" s="11"/>
      <c r="I755" s="11">
        <f>IF(G755="","Pending",IF(G755&gt;=J755,"Accepted",IF(G755&gt;=(J755-Configuration!$C$5),"Tolerance","Refusal")))</f>
      </c>
      <c r="J755" s="11">
        <f>IFERROR(VLOOKUP(B755,'Plot Plan'!$A:$D,4,FALSE),"")</f>
      </c>
      <c r="K755" s="11">
        <f>IFERROR(VLOOKUP(B755,'Plot Plan'!$A:$B,2,FALSE),"")</f>
      </c>
      <c r="L755" s="11">
        <f>IFERROR(VLOOKUP(B755,'Plot Plan'!$A:$C,3,FALSE),"")</f>
      </c>
    </row>
    <row r="756" spans="1:12" s="8" customFormat="1" x14ac:dyDescent="0.25">
      <c r="A756" s="12"/>
      <c r="B756" s="10"/>
      <c r="C756" s="10"/>
      <c r="D756" s="10"/>
      <c r="E756" s="10"/>
      <c r="F756" s="10">
        <f>IF(AND(D756&lt;&gt;"",E756&lt;&gt;""),((TIMEVALUE(E756)-TIMEVALUE(D756))*24*60),"")</f>
      </c>
      <c r="G756" s="10"/>
      <c r="H756" s="10"/>
      <c r="I756" s="10">
        <f>IF(G756="","Pending",IF(G756&gt;=J756,"Accepted",IF(G756&gt;=(J756-Configuration!$C$5),"Tolerance","Refusal")))</f>
      </c>
      <c r="J756" s="10">
        <f>IFERROR(VLOOKUP(B756,'Plot Plan'!$A:$D,4,FALSE),"")</f>
      </c>
      <c r="K756" s="10">
        <f>IFERROR(VLOOKUP(B756,'Plot Plan'!$A:$B,2,FALSE),"")</f>
      </c>
      <c r="L756" s="10">
        <f>IFERROR(VLOOKUP(B756,'Plot Plan'!$A:$C,3,FALSE),"")</f>
      </c>
    </row>
    <row r="757" spans="1:12" x14ac:dyDescent="0.25">
      <c r="A757" s="13"/>
      <c r="B757" s="11"/>
      <c r="C757" s="11"/>
      <c r="D757" s="11"/>
      <c r="E757" s="11"/>
      <c r="F757" s="11">
        <f>IF(AND(D757&lt;&gt;"",E757&lt;&gt;""),((TIMEVALUE(E757)-TIMEVALUE(D757))*24*60),"")</f>
      </c>
      <c r="G757" s="11"/>
      <c r="H757" s="11"/>
      <c r="I757" s="11">
        <f>IF(G757="","Pending",IF(G757&gt;=J757,"Accepted",IF(G757&gt;=(J757-Configuration!$C$5),"Tolerance","Refusal")))</f>
      </c>
      <c r="J757" s="11">
        <f>IFERROR(VLOOKUP(B757,'Plot Plan'!$A:$D,4,FALSE),"")</f>
      </c>
      <c r="K757" s="11">
        <f>IFERROR(VLOOKUP(B757,'Plot Plan'!$A:$B,2,FALSE),"")</f>
      </c>
      <c r="L757" s="11">
        <f>IFERROR(VLOOKUP(B757,'Plot Plan'!$A:$C,3,FALSE),"")</f>
      </c>
    </row>
    <row r="758" spans="1:12" s="8" customFormat="1" x14ac:dyDescent="0.25">
      <c r="A758" s="12"/>
      <c r="B758" s="10"/>
      <c r="C758" s="10"/>
      <c r="D758" s="10"/>
      <c r="E758" s="10"/>
      <c r="F758" s="10">
        <f>IF(AND(D758&lt;&gt;"",E758&lt;&gt;""),((TIMEVALUE(E758)-TIMEVALUE(D758))*24*60),"")</f>
      </c>
      <c r="G758" s="10"/>
      <c r="H758" s="10"/>
      <c r="I758" s="10">
        <f>IF(G758="","Pending",IF(G758&gt;=J758,"Accepted",IF(G758&gt;=(J758-Configuration!$C$5),"Tolerance","Refusal")))</f>
      </c>
      <c r="J758" s="10">
        <f>IFERROR(VLOOKUP(B758,'Plot Plan'!$A:$D,4,FALSE),"")</f>
      </c>
      <c r="K758" s="10">
        <f>IFERROR(VLOOKUP(B758,'Plot Plan'!$A:$B,2,FALSE),"")</f>
      </c>
      <c r="L758" s="10">
        <f>IFERROR(VLOOKUP(B758,'Plot Plan'!$A:$C,3,FALSE),"")</f>
      </c>
    </row>
    <row r="759" spans="1:12" x14ac:dyDescent="0.25">
      <c r="A759" s="13"/>
      <c r="B759" s="11"/>
      <c r="C759" s="11"/>
      <c r="D759" s="11"/>
      <c r="E759" s="11"/>
      <c r="F759" s="11">
        <f>IF(AND(D759&lt;&gt;"",E759&lt;&gt;""),((TIMEVALUE(E759)-TIMEVALUE(D759))*24*60),"")</f>
      </c>
      <c r="G759" s="11"/>
      <c r="H759" s="11"/>
      <c r="I759" s="11">
        <f>IF(G759="","Pending",IF(G759&gt;=J759,"Accepted",IF(G759&gt;=(J759-Configuration!$C$5),"Tolerance","Refusal")))</f>
      </c>
      <c r="J759" s="11">
        <f>IFERROR(VLOOKUP(B759,'Plot Plan'!$A:$D,4,FALSE),"")</f>
      </c>
      <c r="K759" s="11">
        <f>IFERROR(VLOOKUP(B759,'Plot Plan'!$A:$B,2,FALSE),"")</f>
      </c>
      <c r="L759" s="11">
        <f>IFERROR(VLOOKUP(B759,'Plot Plan'!$A:$C,3,FALSE),"")</f>
      </c>
    </row>
    <row r="760" spans="1:12" s="8" customFormat="1" x14ac:dyDescent="0.25">
      <c r="A760" s="12"/>
      <c r="B760" s="10"/>
      <c r="C760" s="10"/>
      <c r="D760" s="10"/>
      <c r="E760" s="10"/>
      <c r="F760" s="10">
        <f>IF(AND(D760&lt;&gt;"",E760&lt;&gt;""),((TIMEVALUE(E760)-TIMEVALUE(D760))*24*60),"")</f>
      </c>
      <c r="G760" s="10"/>
      <c r="H760" s="10"/>
      <c r="I760" s="10">
        <f>IF(G760="","Pending",IF(G760&gt;=J760,"Accepted",IF(G760&gt;=(J760-Configuration!$C$5),"Tolerance","Refusal")))</f>
      </c>
      <c r="J760" s="10">
        <f>IFERROR(VLOOKUP(B760,'Plot Plan'!$A:$D,4,FALSE),"")</f>
      </c>
      <c r="K760" s="10">
        <f>IFERROR(VLOOKUP(B760,'Plot Plan'!$A:$B,2,FALSE),"")</f>
      </c>
      <c r="L760" s="10">
        <f>IFERROR(VLOOKUP(B760,'Plot Plan'!$A:$C,3,FALSE),"")</f>
      </c>
    </row>
    <row r="761" spans="1:12" x14ac:dyDescent="0.25">
      <c r="A761" s="13"/>
      <c r="B761" s="11"/>
      <c r="C761" s="11"/>
      <c r="D761" s="11"/>
      <c r="E761" s="11"/>
      <c r="F761" s="11">
        <f>IF(AND(D761&lt;&gt;"",E761&lt;&gt;""),((TIMEVALUE(E761)-TIMEVALUE(D761))*24*60),"")</f>
      </c>
      <c r="G761" s="11"/>
      <c r="H761" s="11"/>
      <c r="I761" s="11">
        <f>IF(G761="","Pending",IF(G761&gt;=J761,"Accepted",IF(G761&gt;=(J761-Configuration!$C$5),"Tolerance","Refusal")))</f>
      </c>
      <c r="J761" s="11">
        <f>IFERROR(VLOOKUP(B761,'Plot Plan'!$A:$D,4,FALSE),"")</f>
      </c>
      <c r="K761" s="11">
        <f>IFERROR(VLOOKUP(B761,'Plot Plan'!$A:$B,2,FALSE),"")</f>
      </c>
      <c r="L761" s="11">
        <f>IFERROR(VLOOKUP(B761,'Plot Plan'!$A:$C,3,FALSE),"")</f>
      </c>
    </row>
    <row r="762" spans="1:12" s="8" customFormat="1" x14ac:dyDescent="0.25">
      <c r="A762" s="12"/>
      <c r="B762" s="10"/>
      <c r="C762" s="10"/>
      <c r="D762" s="10"/>
      <c r="E762" s="10"/>
      <c r="F762" s="10">
        <f>IF(AND(D762&lt;&gt;"",E762&lt;&gt;""),((TIMEVALUE(E762)-TIMEVALUE(D762))*24*60),"")</f>
      </c>
      <c r="G762" s="10"/>
      <c r="H762" s="10"/>
      <c r="I762" s="10">
        <f>IF(G762="","Pending",IF(G762&gt;=J762,"Accepted",IF(G762&gt;=(J762-Configuration!$C$5),"Tolerance","Refusal")))</f>
      </c>
      <c r="J762" s="10">
        <f>IFERROR(VLOOKUP(B762,'Plot Plan'!$A:$D,4,FALSE),"")</f>
      </c>
      <c r="K762" s="10">
        <f>IFERROR(VLOOKUP(B762,'Plot Plan'!$A:$B,2,FALSE),"")</f>
      </c>
      <c r="L762" s="10">
        <f>IFERROR(VLOOKUP(B762,'Plot Plan'!$A:$C,3,FALSE),"")</f>
      </c>
    </row>
    <row r="763" spans="1:12" x14ac:dyDescent="0.25">
      <c r="A763" s="13"/>
      <c r="B763" s="11"/>
      <c r="C763" s="11"/>
      <c r="D763" s="11"/>
      <c r="E763" s="11"/>
      <c r="F763" s="11">
        <f>IF(AND(D763&lt;&gt;"",E763&lt;&gt;""),((TIMEVALUE(E763)-TIMEVALUE(D763))*24*60),"")</f>
      </c>
      <c r="G763" s="11"/>
      <c r="H763" s="11"/>
      <c r="I763" s="11">
        <f>IF(G763="","Pending",IF(G763&gt;=J763,"Accepted",IF(G763&gt;=(J763-Configuration!$C$5),"Tolerance","Refusal")))</f>
      </c>
      <c r="J763" s="11">
        <f>IFERROR(VLOOKUP(B763,'Plot Plan'!$A:$D,4,FALSE),"")</f>
      </c>
      <c r="K763" s="11">
        <f>IFERROR(VLOOKUP(B763,'Plot Plan'!$A:$B,2,FALSE),"")</f>
      </c>
      <c r="L763" s="11">
        <f>IFERROR(VLOOKUP(B763,'Plot Plan'!$A:$C,3,FALSE),"")</f>
      </c>
    </row>
    <row r="764" spans="1:12" s="8" customFormat="1" x14ac:dyDescent="0.25">
      <c r="A764" s="12"/>
      <c r="B764" s="10"/>
      <c r="C764" s="10"/>
      <c r="D764" s="10"/>
      <c r="E764" s="10"/>
      <c r="F764" s="10">
        <f>IF(AND(D764&lt;&gt;"",E764&lt;&gt;""),((TIMEVALUE(E764)-TIMEVALUE(D764))*24*60),"")</f>
      </c>
      <c r="G764" s="10"/>
      <c r="H764" s="10"/>
      <c r="I764" s="10">
        <f>IF(G764="","Pending",IF(G764&gt;=J764,"Accepted",IF(G764&gt;=(J764-Configuration!$C$5),"Tolerance","Refusal")))</f>
      </c>
      <c r="J764" s="10">
        <f>IFERROR(VLOOKUP(B764,'Plot Plan'!$A:$D,4,FALSE),"")</f>
      </c>
      <c r="K764" s="10">
        <f>IFERROR(VLOOKUP(B764,'Plot Plan'!$A:$B,2,FALSE),"")</f>
      </c>
      <c r="L764" s="10">
        <f>IFERROR(VLOOKUP(B764,'Plot Plan'!$A:$C,3,FALSE),"")</f>
      </c>
    </row>
    <row r="765" spans="1:12" x14ac:dyDescent="0.25">
      <c r="A765" s="13"/>
      <c r="B765" s="11"/>
      <c r="C765" s="11"/>
      <c r="D765" s="11"/>
      <c r="E765" s="11"/>
      <c r="F765" s="11">
        <f>IF(AND(D765&lt;&gt;"",E765&lt;&gt;""),((TIMEVALUE(E765)-TIMEVALUE(D765))*24*60),"")</f>
      </c>
      <c r="G765" s="11"/>
      <c r="H765" s="11"/>
      <c r="I765" s="11">
        <f>IF(G765="","Pending",IF(G765&gt;=J765,"Accepted",IF(G765&gt;=(J765-Configuration!$C$5),"Tolerance","Refusal")))</f>
      </c>
      <c r="J765" s="11">
        <f>IFERROR(VLOOKUP(B765,'Plot Plan'!$A:$D,4,FALSE),"")</f>
      </c>
      <c r="K765" s="11">
        <f>IFERROR(VLOOKUP(B765,'Plot Plan'!$A:$B,2,FALSE),"")</f>
      </c>
      <c r="L765" s="11">
        <f>IFERROR(VLOOKUP(B765,'Plot Plan'!$A:$C,3,FALSE),"")</f>
      </c>
    </row>
    <row r="766" spans="1:12" s="8" customFormat="1" x14ac:dyDescent="0.25">
      <c r="A766" s="12"/>
      <c r="B766" s="10"/>
      <c r="C766" s="10"/>
      <c r="D766" s="10"/>
      <c r="E766" s="10"/>
      <c r="F766" s="10">
        <f>IF(AND(D766&lt;&gt;"",E766&lt;&gt;""),((TIMEVALUE(E766)-TIMEVALUE(D766))*24*60),"")</f>
      </c>
      <c r="G766" s="10"/>
      <c r="H766" s="10"/>
      <c r="I766" s="10">
        <f>IF(G766="","Pending",IF(G766&gt;=J766,"Accepted",IF(G766&gt;=(J766-Configuration!$C$5),"Tolerance","Refusal")))</f>
      </c>
      <c r="J766" s="10">
        <f>IFERROR(VLOOKUP(B766,'Plot Plan'!$A:$D,4,FALSE),"")</f>
      </c>
      <c r="K766" s="10">
        <f>IFERROR(VLOOKUP(B766,'Plot Plan'!$A:$B,2,FALSE),"")</f>
      </c>
      <c r="L766" s="10">
        <f>IFERROR(VLOOKUP(B766,'Plot Plan'!$A:$C,3,FALSE),"")</f>
      </c>
    </row>
    <row r="767" spans="1:12" x14ac:dyDescent="0.25">
      <c r="A767" s="13"/>
      <c r="B767" s="11"/>
      <c r="C767" s="11"/>
      <c r="D767" s="11"/>
      <c r="E767" s="11"/>
      <c r="F767" s="11">
        <f>IF(AND(D767&lt;&gt;"",E767&lt;&gt;""),((TIMEVALUE(E767)-TIMEVALUE(D767))*24*60),"")</f>
      </c>
      <c r="G767" s="11"/>
      <c r="H767" s="11"/>
      <c r="I767" s="11">
        <f>IF(G767="","Pending",IF(G767&gt;=J767,"Accepted",IF(G767&gt;=(J767-Configuration!$C$5),"Tolerance","Refusal")))</f>
      </c>
      <c r="J767" s="11">
        <f>IFERROR(VLOOKUP(B767,'Plot Plan'!$A:$D,4,FALSE),"")</f>
      </c>
      <c r="K767" s="11">
        <f>IFERROR(VLOOKUP(B767,'Plot Plan'!$A:$B,2,FALSE),"")</f>
      </c>
      <c r="L767" s="11">
        <f>IFERROR(VLOOKUP(B767,'Plot Plan'!$A:$C,3,FALSE),"")</f>
      </c>
    </row>
    <row r="768" spans="1:12" s="8" customFormat="1" x14ac:dyDescent="0.25">
      <c r="A768" s="12"/>
      <c r="B768" s="10"/>
      <c r="C768" s="10"/>
      <c r="D768" s="10"/>
      <c r="E768" s="10"/>
      <c r="F768" s="10">
        <f>IF(AND(D768&lt;&gt;"",E768&lt;&gt;""),((TIMEVALUE(E768)-TIMEVALUE(D768))*24*60),"")</f>
      </c>
      <c r="G768" s="10"/>
      <c r="H768" s="10"/>
      <c r="I768" s="10">
        <f>IF(G768="","Pending",IF(G768&gt;=J768,"Accepted",IF(G768&gt;=(J768-Configuration!$C$5),"Tolerance","Refusal")))</f>
      </c>
      <c r="J768" s="10">
        <f>IFERROR(VLOOKUP(B768,'Plot Plan'!$A:$D,4,FALSE),"")</f>
      </c>
      <c r="K768" s="10">
        <f>IFERROR(VLOOKUP(B768,'Plot Plan'!$A:$B,2,FALSE),"")</f>
      </c>
      <c r="L768" s="10">
        <f>IFERROR(VLOOKUP(B768,'Plot Plan'!$A:$C,3,FALSE),"")</f>
      </c>
    </row>
    <row r="769" spans="1:12" x14ac:dyDescent="0.25">
      <c r="A769" s="13"/>
      <c r="B769" s="11"/>
      <c r="C769" s="11"/>
      <c r="D769" s="11"/>
      <c r="E769" s="11"/>
      <c r="F769" s="11">
        <f>IF(AND(D769&lt;&gt;"",E769&lt;&gt;""),((TIMEVALUE(E769)-TIMEVALUE(D769))*24*60),"")</f>
      </c>
      <c r="G769" s="11"/>
      <c r="H769" s="11"/>
      <c r="I769" s="11">
        <f>IF(G769="","Pending",IF(G769&gt;=J769,"Accepted",IF(G769&gt;=(J769-Configuration!$C$5),"Tolerance","Refusal")))</f>
      </c>
      <c r="J769" s="11">
        <f>IFERROR(VLOOKUP(B769,'Plot Plan'!$A:$D,4,FALSE),"")</f>
      </c>
      <c r="K769" s="11">
        <f>IFERROR(VLOOKUP(B769,'Plot Plan'!$A:$B,2,FALSE),"")</f>
      </c>
      <c r="L769" s="11">
        <f>IFERROR(VLOOKUP(B769,'Plot Plan'!$A:$C,3,FALSE),"")</f>
      </c>
    </row>
    <row r="770" spans="1:12" s="8" customFormat="1" x14ac:dyDescent="0.25">
      <c r="A770" s="12"/>
      <c r="B770" s="10"/>
      <c r="C770" s="10"/>
      <c r="D770" s="10"/>
      <c r="E770" s="10"/>
      <c r="F770" s="10">
        <f>IF(AND(D770&lt;&gt;"",E770&lt;&gt;""),((TIMEVALUE(E770)-TIMEVALUE(D770))*24*60),"")</f>
      </c>
      <c r="G770" s="10"/>
      <c r="H770" s="10"/>
      <c r="I770" s="10">
        <f>IF(G770="","Pending",IF(G770&gt;=J770,"Accepted",IF(G770&gt;=(J770-Configuration!$C$5),"Tolerance","Refusal")))</f>
      </c>
      <c r="J770" s="10">
        <f>IFERROR(VLOOKUP(B770,'Plot Plan'!$A:$D,4,FALSE),"")</f>
      </c>
      <c r="K770" s="10">
        <f>IFERROR(VLOOKUP(B770,'Plot Plan'!$A:$B,2,FALSE),"")</f>
      </c>
      <c r="L770" s="10">
        <f>IFERROR(VLOOKUP(B770,'Plot Plan'!$A:$C,3,FALSE),"")</f>
      </c>
    </row>
    <row r="771" spans="1:12" x14ac:dyDescent="0.25">
      <c r="A771" s="13"/>
      <c r="B771" s="11"/>
      <c r="C771" s="11"/>
      <c r="D771" s="11"/>
      <c r="E771" s="11"/>
      <c r="F771" s="11">
        <f>IF(AND(D771&lt;&gt;"",E771&lt;&gt;""),((TIMEVALUE(E771)-TIMEVALUE(D771))*24*60),"")</f>
      </c>
      <c r="G771" s="11"/>
      <c r="H771" s="11"/>
      <c r="I771" s="11">
        <f>IF(G771="","Pending",IF(G771&gt;=J771,"Accepted",IF(G771&gt;=(J771-Configuration!$C$5),"Tolerance","Refusal")))</f>
      </c>
      <c r="J771" s="11">
        <f>IFERROR(VLOOKUP(B771,'Plot Plan'!$A:$D,4,FALSE),"")</f>
      </c>
      <c r="K771" s="11">
        <f>IFERROR(VLOOKUP(B771,'Plot Plan'!$A:$B,2,FALSE),"")</f>
      </c>
      <c r="L771" s="11">
        <f>IFERROR(VLOOKUP(B771,'Plot Plan'!$A:$C,3,FALSE),"")</f>
      </c>
    </row>
    <row r="772" spans="1:12" s="8" customFormat="1" x14ac:dyDescent="0.25">
      <c r="A772" s="12"/>
      <c r="B772" s="10"/>
      <c r="C772" s="10"/>
      <c r="D772" s="10"/>
      <c r="E772" s="10"/>
      <c r="F772" s="10">
        <f>IF(AND(D772&lt;&gt;"",E772&lt;&gt;""),((TIMEVALUE(E772)-TIMEVALUE(D772))*24*60),"")</f>
      </c>
      <c r="G772" s="10"/>
      <c r="H772" s="10"/>
      <c r="I772" s="10">
        <f>IF(G772="","Pending",IF(G772&gt;=J772,"Accepted",IF(G772&gt;=(J772-Configuration!$C$5),"Tolerance","Refusal")))</f>
      </c>
      <c r="J772" s="10">
        <f>IFERROR(VLOOKUP(B772,'Plot Plan'!$A:$D,4,FALSE),"")</f>
      </c>
      <c r="K772" s="10">
        <f>IFERROR(VLOOKUP(B772,'Plot Plan'!$A:$B,2,FALSE),"")</f>
      </c>
      <c r="L772" s="10">
        <f>IFERROR(VLOOKUP(B772,'Plot Plan'!$A:$C,3,FALSE),"")</f>
      </c>
    </row>
    <row r="773" spans="1:12" x14ac:dyDescent="0.25">
      <c r="A773" s="13"/>
      <c r="B773" s="11"/>
      <c r="C773" s="11"/>
      <c r="D773" s="11"/>
      <c r="E773" s="11"/>
      <c r="F773" s="11">
        <f>IF(AND(D773&lt;&gt;"",E773&lt;&gt;""),((TIMEVALUE(E773)-TIMEVALUE(D773))*24*60),"")</f>
      </c>
      <c r="G773" s="11"/>
      <c r="H773" s="11"/>
      <c r="I773" s="11">
        <f>IF(G773="","Pending",IF(G773&gt;=J773,"Accepted",IF(G773&gt;=(J773-Configuration!$C$5),"Tolerance","Refusal")))</f>
      </c>
      <c r="J773" s="11">
        <f>IFERROR(VLOOKUP(B773,'Plot Plan'!$A:$D,4,FALSE),"")</f>
      </c>
      <c r="K773" s="11">
        <f>IFERROR(VLOOKUP(B773,'Plot Plan'!$A:$B,2,FALSE),"")</f>
      </c>
      <c r="L773" s="11">
        <f>IFERROR(VLOOKUP(B773,'Plot Plan'!$A:$C,3,FALSE),"")</f>
      </c>
    </row>
    <row r="774" spans="1:12" s="8" customFormat="1" x14ac:dyDescent="0.25">
      <c r="A774" s="12"/>
      <c r="B774" s="10"/>
      <c r="C774" s="10"/>
      <c r="D774" s="10"/>
      <c r="E774" s="10"/>
      <c r="F774" s="10">
        <f>IF(AND(D774&lt;&gt;"",E774&lt;&gt;""),((TIMEVALUE(E774)-TIMEVALUE(D774))*24*60),"")</f>
      </c>
      <c r="G774" s="10"/>
      <c r="H774" s="10"/>
      <c r="I774" s="10">
        <f>IF(G774="","Pending",IF(G774&gt;=J774,"Accepted",IF(G774&gt;=(J774-Configuration!$C$5),"Tolerance","Refusal")))</f>
      </c>
      <c r="J774" s="10">
        <f>IFERROR(VLOOKUP(B774,'Plot Plan'!$A:$D,4,FALSE),"")</f>
      </c>
      <c r="K774" s="10">
        <f>IFERROR(VLOOKUP(B774,'Plot Plan'!$A:$B,2,FALSE),"")</f>
      </c>
      <c r="L774" s="10">
        <f>IFERROR(VLOOKUP(B774,'Plot Plan'!$A:$C,3,FALSE),"")</f>
      </c>
    </row>
    <row r="775" spans="1:12" x14ac:dyDescent="0.25">
      <c r="A775" s="13"/>
      <c r="B775" s="11"/>
      <c r="C775" s="11"/>
      <c r="D775" s="11"/>
      <c r="E775" s="11"/>
      <c r="F775" s="11">
        <f>IF(AND(D775&lt;&gt;"",E775&lt;&gt;""),((TIMEVALUE(E775)-TIMEVALUE(D775))*24*60),"")</f>
      </c>
      <c r="G775" s="11"/>
      <c r="H775" s="11"/>
      <c r="I775" s="11">
        <f>IF(G775="","Pending",IF(G775&gt;=J775,"Accepted",IF(G775&gt;=(J775-Configuration!$C$5),"Tolerance","Refusal")))</f>
      </c>
      <c r="J775" s="11">
        <f>IFERROR(VLOOKUP(B775,'Plot Plan'!$A:$D,4,FALSE),"")</f>
      </c>
      <c r="K775" s="11">
        <f>IFERROR(VLOOKUP(B775,'Plot Plan'!$A:$B,2,FALSE),"")</f>
      </c>
      <c r="L775" s="11">
        <f>IFERROR(VLOOKUP(B775,'Plot Plan'!$A:$C,3,FALSE),"")</f>
      </c>
    </row>
    <row r="776" spans="1:12" s="8" customFormat="1" x14ac:dyDescent="0.25">
      <c r="A776" s="12"/>
      <c r="B776" s="10"/>
      <c r="C776" s="10"/>
      <c r="D776" s="10"/>
      <c r="E776" s="10"/>
      <c r="F776" s="10">
        <f>IF(AND(D776&lt;&gt;"",E776&lt;&gt;""),((TIMEVALUE(E776)-TIMEVALUE(D776))*24*60),"")</f>
      </c>
      <c r="G776" s="10"/>
      <c r="H776" s="10"/>
      <c r="I776" s="10">
        <f>IF(G776="","Pending",IF(G776&gt;=J776,"Accepted",IF(G776&gt;=(J776-Configuration!$C$5),"Tolerance","Refusal")))</f>
      </c>
      <c r="J776" s="10">
        <f>IFERROR(VLOOKUP(B776,'Plot Plan'!$A:$D,4,FALSE),"")</f>
      </c>
      <c r="K776" s="10">
        <f>IFERROR(VLOOKUP(B776,'Plot Plan'!$A:$B,2,FALSE),"")</f>
      </c>
      <c r="L776" s="10">
        <f>IFERROR(VLOOKUP(B776,'Plot Plan'!$A:$C,3,FALSE),"")</f>
      </c>
    </row>
    <row r="777" spans="1:12" x14ac:dyDescent="0.25">
      <c r="A777" s="13"/>
      <c r="B777" s="11"/>
      <c r="C777" s="11"/>
      <c r="D777" s="11"/>
      <c r="E777" s="11"/>
      <c r="F777" s="11">
        <f>IF(AND(D777&lt;&gt;"",E777&lt;&gt;""),((TIMEVALUE(E777)-TIMEVALUE(D777))*24*60),"")</f>
      </c>
      <c r="G777" s="11"/>
      <c r="H777" s="11"/>
      <c r="I777" s="11">
        <f>IF(G777="","Pending",IF(G777&gt;=J777,"Accepted",IF(G777&gt;=(J777-Configuration!$C$5),"Tolerance","Refusal")))</f>
      </c>
      <c r="J777" s="11">
        <f>IFERROR(VLOOKUP(B777,'Plot Plan'!$A:$D,4,FALSE),"")</f>
      </c>
      <c r="K777" s="11">
        <f>IFERROR(VLOOKUP(B777,'Plot Plan'!$A:$B,2,FALSE),"")</f>
      </c>
      <c r="L777" s="11">
        <f>IFERROR(VLOOKUP(B777,'Plot Plan'!$A:$C,3,FALSE),"")</f>
      </c>
    </row>
    <row r="778" spans="1:12" s="8" customFormat="1" x14ac:dyDescent="0.25">
      <c r="A778" s="12"/>
      <c r="B778" s="10"/>
      <c r="C778" s="10"/>
      <c r="D778" s="10"/>
      <c r="E778" s="10"/>
      <c r="F778" s="10">
        <f>IF(AND(D778&lt;&gt;"",E778&lt;&gt;""),((TIMEVALUE(E778)-TIMEVALUE(D778))*24*60),"")</f>
      </c>
      <c r="G778" s="10"/>
      <c r="H778" s="10"/>
      <c r="I778" s="10">
        <f>IF(G778="","Pending",IF(G778&gt;=J778,"Accepted",IF(G778&gt;=(J778-Configuration!$C$5),"Tolerance","Refusal")))</f>
      </c>
      <c r="J778" s="10">
        <f>IFERROR(VLOOKUP(B778,'Plot Plan'!$A:$D,4,FALSE),"")</f>
      </c>
      <c r="K778" s="10">
        <f>IFERROR(VLOOKUP(B778,'Plot Plan'!$A:$B,2,FALSE),"")</f>
      </c>
      <c r="L778" s="10">
        <f>IFERROR(VLOOKUP(B778,'Plot Plan'!$A:$C,3,FALSE),"")</f>
      </c>
    </row>
    <row r="779" spans="1:12" x14ac:dyDescent="0.25">
      <c r="A779" s="13"/>
      <c r="B779" s="11"/>
      <c r="C779" s="11"/>
      <c r="D779" s="11"/>
      <c r="E779" s="11"/>
      <c r="F779" s="11">
        <f>IF(AND(D779&lt;&gt;"",E779&lt;&gt;""),((TIMEVALUE(E779)-TIMEVALUE(D779))*24*60),"")</f>
      </c>
      <c r="G779" s="11"/>
      <c r="H779" s="11"/>
      <c r="I779" s="11">
        <f>IF(G779="","Pending",IF(G779&gt;=J779,"Accepted",IF(G779&gt;=(J779-Configuration!$C$5),"Tolerance","Refusal")))</f>
      </c>
      <c r="J779" s="11">
        <f>IFERROR(VLOOKUP(B779,'Plot Plan'!$A:$D,4,FALSE),"")</f>
      </c>
      <c r="K779" s="11">
        <f>IFERROR(VLOOKUP(B779,'Plot Plan'!$A:$B,2,FALSE),"")</f>
      </c>
      <c r="L779" s="11">
        <f>IFERROR(VLOOKUP(B779,'Plot Plan'!$A:$C,3,FALSE),"")</f>
      </c>
    </row>
    <row r="780" spans="1:12" s="8" customFormat="1" x14ac:dyDescent="0.25">
      <c r="A780" s="12"/>
      <c r="B780" s="10"/>
      <c r="C780" s="10"/>
      <c r="D780" s="10"/>
      <c r="E780" s="10"/>
      <c r="F780" s="10">
        <f>IF(AND(D780&lt;&gt;"",E780&lt;&gt;""),((TIMEVALUE(E780)-TIMEVALUE(D780))*24*60),"")</f>
      </c>
      <c r="G780" s="10"/>
      <c r="H780" s="10"/>
      <c r="I780" s="10">
        <f>IF(G780="","Pending",IF(G780&gt;=J780,"Accepted",IF(G780&gt;=(J780-Configuration!$C$5),"Tolerance","Refusal")))</f>
      </c>
      <c r="J780" s="10">
        <f>IFERROR(VLOOKUP(B780,'Plot Plan'!$A:$D,4,FALSE),"")</f>
      </c>
      <c r="K780" s="10">
        <f>IFERROR(VLOOKUP(B780,'Plot Plan'!$A:$B,2,FALSE),"")</f>
      </c>
      <c r="L780" s="10">
        <f>IFERROR(VLOOKUP(B780,'Plot Plan'!$A:$C,3,FALSE),"")</f>
      </c>
    </row>
    <row r="781" spans="1:12" x14ac:dyDescent="0.25">
      <c r="A781" s="13"/>
      <c r="B781" s="11"/>
      <c r="C781" s="11"/>
      <c r="D781" s="11"/>
      <c r="E781" s="11"/>
      <c r="F781" s="11">
        <f>IF(AND(D781&lt;&gt;"",E781&lt;&gt;""),((TIMEVALUE(E781)-TIMEVALUE(D781))*24*60),"")</f>
      </c>
      <c r="G781" s="11"/>
      <c r="H781" s="11"/>
      <c r="I781" s="11">
        <f>IF(G781="","Pending",IF(G781&gt;=J781,"Accepted",IF(G781&gt;=(J781-Configuration!$C$5),"Tolerance","Refusal")))</f>
      </c>
      <c r="J781" s="11">
        <f>IFERROR(VLOOKUP(B781,'Plot Plan'!$A:$D,4,FALSE),"")</f>
      </c>
      <c r="K781" s="11">
        <f>IFERROR(VLOOKUP(B781,'Plot Plan'!$A:$B,2,FALSE),"")</f>
      </c>
      <c r="L781" s="11">
        <f>IFERROR(VLOOKUP(B781,'Plot Plan'!$A:$C,3,FALSE),"")</f>
      </c>
    </row>
    <row r="782" spans="1:12" s="8" customFormat="1" x14ac:dyDescent="0.25">
      <c r="A782" s="12"/>
      <c r="B782" s="10"/>
      <c r="C782" s="10"/>
      <c r="D782" s="10"/>
      <c r="E782" s="10"/>
      <c r="F782" s="10">
        <f>IF(AND(D782&lt;&gt;"",E782&lt;&gt;""),((TIMEVALUE(E782)-TIMEVALUE(D782))*24*60),"")</f>
      </c>
      <c r="G782" s="10"/>
      <c r="H782" s="10"/>
      <c r="I782" s="10">
        <f>IF(G782="","Pending",IF(G782&gt;=J782,"Accepted",IF(G782&gt;=(J782-Configuration!$C$5),"Tolerance","Refusal")))</f>
      </c>
      <c r="J782" s="10">
        <f>IFERROR(VLOOKUP(B782,'Plot Plan'!$A:$D,4,FALSE),"")</f>
      </c>
      <c r="K782" s="10">
        <f>IFERROR(VLOOKUP(B782,'Plot Plan'!$A:$B,2,FALSE),"")</f>
      </c>
      <c r="L782" s="10">
        <f>IFERROR(VLOOKUP(B782,'Plot Plan'!$A:$C,3,FALSE),"")</f>
      </c>
    </row>
    <row r="783" spans="1:12" x14ac:dyDescent="0.25">
      <c r="A783" s="13"/>
      <c r="B783" s="11"/>
      <c r="C783" s="11"/>
      <c r="D783" s="11"/>
      <c r="E783" s="11"/>
      <c r="F783" s="11">
        <f>IF(AND(D783&lt;&gt;"",E783&lt;&gt;""),((TIMEVALUE(E783)-TIMEVALUE(D783))*24*60),"")</f>
      </c>
      <c r="G783" s="11"/>
      <c r="H783" s="11"/>
      <c r="I783" s="11">
        <f>IF(G783="","Pending",IF(G783&gt;=J783,"Accepted",IF(G783&gt;=(J783-Configuration!$C$5),"Tolerance","Refusal")))</f>
      </c>
      <c r="J783" s="11">
        <f>IFERROR(VLOOKUP(B783,'Plot Plan'!$A:$D,4,FALSE),"")</f>
      </c>
      <c r="K783" s="11">
        <f>IFERROR(VLOOKUP(B783,'Plot Plan'!$A:$B,2,FALSE),"")</f>
      </c>
      <c r="L783" s="11">
        <f>IFERROR(VLOOKUP(B783,'Plot Plan'!$A:$C,3,FALSE),"")</f>
      </c>
    </row>
    <row r="784" spans="1:12" s="8" customFormat="1" x14ac:dyDescent="0.25">
      <c r="A784" s="12"/>
      <c r="B784" s="10"/>
      <c r="C784" s="10"/>
      <c r="D784" s="10"/>
      <c r="E784" s="10"/>
      <c r="F784" s="10">
        <f>IF(AND(D784&lt;&gt;"",E784&lt;&gt;""),((TIMEVALUE(E784)-TIMEVALUE(D784))*24*60),"")</f>
      </c>
      <c r="G784" s="10"/>
      <c r="H784" s="10"/>
      <c r="I784" s="10">
        <f>IF(G784="","Pending",IF(G784&gt;=J784,"Accepted",IF(G784&gt;=(J784-Configuration!$C$5),"Tolerance","Refusal")))</f>
      </c>
      <c r="J784" s="10">
        <f>IFERROR(VLOOKUP(B784,'Plot Plan'!$A:$D,4,FALSE),"")</f>
      </c>
      <c r="K784" s="10">
        <f>IFERROR(VLOOKUP(B784,'Plot Plan'!$A:$B,2,FALSE),"")</f>
      </c>
      <c r="L784" s="10">
        <f>IFERROR(VLOOKUP(B784,'Plot Plan'!$A:$C,3,FALSE),"")</f>
      </c>
    </row>
    <row r="785" spans="1:12" x14ac:dyDescent="0.25">
      <c r="A785" s="13"/>
      <c r="B785" s="11"/>
      <c r="C785" s="11"/>
      <c r="D785" s="11"/>
      <c r="E785" s="11"/>
      <c r="F785" s="11">
        <f>IF(AND(D785&lt;&gt;"",E785&lt;&gt;""),((TIMEVALUE(E785)-TIMEVALUE(D785))*24*60),"")</f>
      </c>
      <c r="G785" s="11"/>
      <c r="H785" s="11"/>
      <c r="I785" s="11">
        <f>IF(G785="","Pending",IF(G785&gt;=J785,"Accepted",IF(G785&gt;=(J785-Configuration!$C$5),"Tolerance","Refusal")))</f>
      </c>
      <c r="J785" s="11">
        <f>IFERROR(VLOOKUP(B785,'Plot Plan'!$A:$D,4,FALSE),"")</f>
      </c>
      <c r="K785" s="11">
        <f>IFERROR(VLOOKUP(B785,'Plot Plan'!$A:$B,2,FALSE),"")</f>
      </c>
      <c r="L785" s="11">
        <f>IFERROR(VLOOKUP(B785,'Plot Plan'!$A:$C,3,FALSE),"")</f>
      </c>
    </row>
    <row r="786" spans="1:12" s="8" customFormat="1" x14ac:dyDescent="0.25">
      <c r="A786" s="12"/>
      <c r="B786" s="10"/>
      <c r="C786" s="10"/>
      <c r="D786" s="10"/>
      <c r="E786" s="10"/>
      <c r="F786" s="10">
        <f>IF(AND(D786&lt;&gt;"",E786&lt;&gt;""),((TIMEVALUE(E786)-TIMEVALUE(D786))*24*60),"")</f>
      </c>
      <c r="G786" s="10"/>
      <c r="H786" s="10"/>
      <c r="I786" s="10">
        <f>IF(G786="","Pending",IF(G786&gt;=J786,"Accepted",IF(G786&gt;=(J786-Configuration!$C$5),"Tolerance","Refusal")))</f>
      </c>
      <c r="J786" s="10">
        <f>IFERROR(VLOOKUP(B786,'Plot Plan'!$A:$D,4,FALSE),"")</f>
      </c>
      <c r="K786" s="10">
        <f>IFERROR(VLOOKUP(B786,'Plot Plan'!$A:$B,2,FALSE),"")</f>
      </c>
      <c r="L786" s="10">
        <f>IFERROR(VLOOKUP(B786,'Plot Plan'!$A:$C,3,FALSE),"")</f>
      </c>
    </row>
    <row r="787" spans="1:12" x14ac:dyDescent="0.25">
      <c r="A787" s="13"/>
      <c r="B787" s="11"/>
      <c r="C787" s="11"/>
      <c r="D787" s="11"/>
      <c r="E787" s="11"/>
      <c r="F787" s="11">
        <f>IF(AND(D787&lt;&gt;"",E787&lt;&gt;""),((TIMEVALUE(E787)-TIMEVALUE(D787))*24*60),"")</f>
      </c>
      <c r="G787" s="11"/>
      <c r="H787" s="11"/>
      <c r="I787" s="11">
        <f>IF(G787="","Pending",IF(G787&gt;=J787,"Accepted",IF(G787&gt;=(J787-Configuration!$C$5),"Tolerance","Refusal")))</f>
      </c>
      <c r="J787" s="11">
        <f>IFERROR(VLOOKUP(B787,'Plot Plan'!$A:$D,4,FALSE),"")</f>
      </c>
      <c r="K787" s="11">
        <f>IFERROR(VLOOKUP(B787,'Plot Plan'!$A:$B,2,FALSE),"")</f>
      </c>
      <c r="L787" s="11">
        <f>IFERROR(VLOOKUP(B787,'Plot Plan'!$A:$C,3,FALSE),"")</f>
      </c>
    </row>
    <row r="788" spans="1:12" s="8" customFormat="1" x14ac:dyDescent="0.25">
      <c r="A788" s="12"/>
      <c r="B788" s="10"/>
      <c r="C788" s="10"/>
      <c r="D788" s="10"/>
      <c r="E788" s="10"/>
      <c r="F788" s="10">
        <f>IF(AND(D788&lt;&gt;"",E788&lt;&gt;""),((TIMEVALUE(E788)-TIMEVALUE(D788))*24*60),"")</f>
      </c>
      <c r="G788" s="10"/>
      <c r="H788" s="10"/>
      <c r="I788" s="10">
        <f>IF(G788="","Pending",IF(G788&gt;=J788,"Accepted",IF(G788&gt;=(J788-Configuration!$C$5),"Tolerance","Refusal")))</f>
      </c>
      <c r="J788" s="10">
        <f>IFERROR(VLOOKUP(B788,'Plot Plan'!$A:$D,4,FALSE),"")</f>
      </c>
      <c r="K788" s="10">
        <f>IFERROR(VLOOKUP(B788,'Plot Plan'!$A:$B,2,FALSE),"")</f>
      </c>
      <c r="L788" s="10">
        <f>IFERROR(VLOOKUP(B788,'Plot Plan'!$A:$C,3,FALSE),"")</f>
      </c>
    </row>
    <row r="789" spans="1:12" x14ac:dyDescent="0.25">
      <c r="A789" s="13"/>
      <c r="B789" s="11"/>
      <c r="C789" s="11"/>
      <c r="D789" s="11"/>
      <c r="E789" s="11"/>
      <c r="F789" s="11">
        <f>IF(AND(D789&lt;&gt;"",E789&lt;&gt;""),((TIMEVALUE(E789)-TIMEVALUE(D789))*24*60),"")</f>
      </c>
      <c r="G789" s="11"/>
      <c r="H789" s="11"/>
      <c r="I789" s="11">
        <f>IF(G789="","Pending",IF(G789&gt;=J789,"Accepted",IF(G789&gt;=(J789-Configuration!$C$5),"Tolerance","Refusal")))</f>
      </c>
      <c r="J789" s="11">
        <f>IFERROR(VLOOKUP(B789,'Plot Plan'!$A:$D,4,FALSE),"")</f>
      </c>
      <c r="K789" s="11">
        <f>IFERROR(VLOOKUP(B789,'Plot Plan'!$A:$B,2,FALSE),"")</f>
      </c>
      <c r="L789" s="11">
        <f>IFERROR(VLOOKUP(B789,'Plot Plan'!$A:$C,3,FALSE),"")</f>
      </c>
    </row>
    <row r="790" spans="1:12" s="8" customFormat="1" x14ac:dyDescent="0.25">
      <c r="A790" s="12"/>
      <c r="B790" s="10"/>
      <c r="C790" s="10"/>
      <c r="D790" s="10"/>
      <c r="E790" s="10"/>
      <c r="F790" s="10">
        <f>IF(AND(D790&lt;&gt;"",E790&lt;&gt;""),((TIMEVALUE(E790)-TIMEVALUE(D790))*24*60),"")</f>
      </c>
      <c r="G790" s="10"/>
      <c r="H790" s="10"/>
      <c r="I790" s="10">
        <f>IF(G790="","Pending",IF(G790&gt;=J790,"Accepted",IF(G790&gt;=(J790-Configuration!$C$5),"Tolerance","Refusal")))</f>
      </c>
      <c r="J790" s="10">
        <f>IFERROR(VLOOKUP(B790,'Plot Plan'!$A:$D,4,FALSE),"")</f>
      </c>
      <c r="K790" s="10">
        <f>IFERROR(VLOOKUP(B790,'Plot Plan'!$A:$B,2,FALSE),"")</f>
      </c>
      <c r="L790" s="10">
        <f>IFERROR(VLOOKUP(B790,'Plot Plan'!$A:$C,3,FALSE),"")</f>
      </c>
    </row>
    <row r="791" spans="1:12" x14ac:dyDescent="0.25">
      <c r="A791" s="13"/>
      <c r="B791" s="11"/>
      <c r="C791" s="11"/>
      <c r="D791" s="11"/>
      <c r="E791" s="11"/>
      <c r="F791" s="11">
        <f>IF(AND(D791&lt;&gt;"",E791&lt;&gt;""),((TIMEVALUE(E791)-TIMEVALUE(D791))*24*60),"")</f>
      </c>
      <c r="G791" s="11"/>
      <c r="H791" s="11"/>
      <c r="I791" s="11">
        <f>IF(G791="","Pending",IF(G791&gt;=J791,"Accepted",IF(G791&gt;=(J791-Configuration!$C$5),"Tolerance","Refusal")))</f>
      </c>
      <c r="J791" s="11">
        <f>IFERROR(VLOOKUP(B791,'Plot Plan'!$A:$D,4,FALSE),"")</f>
      </c>
      <c r="K791" s="11">
        <f>IFERROR(VLOOKUP(B791,'Plot Plan'!$A:$B,2,FALSE),"")</f>
      </c>
      <c r="L791" s="11">
        <f>IFERROR(VLOOKUP(B791,'Plot Plan'!$A:$C,3,FALSE),"")</f>
      </c>
    </row>
    <row r="792" spans="1:12" s="8" customFormat="1" x14ac:dyDescent="0.25">
      <c r="A792" s="12"/>
      <c r="B792" s="10"/>
      <c r="C792" s="10"/>
      <c r="D792" s="10"/>
      <c r="E792" s="10"/>
      <c r="F792" s="10">
        <f>IF(AND(D792&lt;&gt;"",E792&lt;&gt;""),((TIMEVALUE(E792)-TIMEVALUE(D792))*24*60),"")</f>
      </c>
      <c r="G792" s="10"/>
      <c r="H792" s="10"/>
      <c r="I792" s="10">
        <f>IF(G792="","Pending",IF(G792&gt;=J792,"Accepted",IF(G792&gt;=(J792-Configuration!$C$5),"Tolerance","Refusal")))</f>
      </c>
      <c r="J792" s="10">
        <f>IFERROR(VLOOKUP(B792,'Plot Plan'!$A:$D,4,FALSE),"")</f>
      </c>
      <c r="K792" s="10">
        <f>IFERROR(VLOOKUP(B792,'Plot Plan'!$A:$B,2,FALSE),"")</f>
      </c>
      <c r="L792" s="10">
        <f>IFERROR(VLOOKUP(B792,'Plot Plan'!$A:$C,3,FALSE),"")</f>
      </c>
    </row>
    <row r="793" spans="1:12" x14ac:dyDescent="0.25">
      <c r="A793" s="13"/>
      <c r="B793" s="11"/>
      <c r="C793" s="11"/>
      <c r="D793" s="11"/>
      <c r="E793" s="11"/>
      <c r="F793" s="11">
        <f>IF(AND(D793&lt;&gt;"",E793&lt;&gt;""),((TIMEVALUE(E793)-TIMEVALUE(D793))*24*60),"")</f>
      </c>
      <c r="G793" s="11"/>
      <c r="H793" s="11"/>
      <c r="I793" s="11">
        <f>IF(G793="","Pending",IF(G793&gt;=J793,"Accepted",IF(G793&gt;=(J793-Configuration!$C$5),"Tolerance","Refusal")))</f>
      </c>
      <c r="J793" s="11">
        <f>IFERROR(VLOOKUP(B793,'Plot Plan'!$A:$D,4,FALSE),"")</f>
      </c>
      <c r="K793" s="11">
        <f>IFERROR(VLOOKUP(B793,'Plot Plan'!$A:$B,2,FALSE),"")</f>
      </c>
      <c r="L793" s="11">
        <f>IFERROR(VLOOKUP(B793,'Plot Plan'!$A:$C,3,FALSE),"")</f>
      </c>
    </row>
    <row r="794" spans="1:12" s="8" customFormat="1" x14ac:dyDescent="0.25">
      <c r="A794" s="12"/>
      <c r="B794" s="10"/>
      <c r="C794" s="10"/>
      <c r="D794" s="10"/>
      <c r="E794" s="10"/>
      <c r="F794" s="10">
        <f>IF(AND(D794&lt;&gt;"",E794&lt;&gt;""),((TIMEVALUE(E794)-TIMEVALUE(D794))*24*60),"")</f>
      </c>
      <c r="G794" s="10"/>
      <c r="H794" s="10"/>
      <c r="I794" s="10">
        <f>IF(G794="","Pending",IF(G794&gt;=J794,"Accepted",IF(G794&gt;=(J794-Configuration!$C$5),"Tolerance","Refusal")))</f>
      </c>
      <c r="J794" s="10">
        <f>IFERROR(VLOOKUP(B794,'Plot Plan'!$A:$D,4,FALSE),"")</f>
      </c>
      <c r="K794" s="10">
        <f>IFERROR(VLOOKUP(B794,'Plot Plan'!$A:$B,2,FALSE),"")</f>
      </c>
      <c r="L794" s="10">
        <f>IFERROR(VLOOKUP(B794,'Plot Plan'!$A:$C,3,FALSE),"")</f>
      </c>
    </row>
    <row r="795" spans="1:12" x14ac:dyDescent="0.25">
      <c r="A795" s="13"/>
      <c r="B795" s="11"/>
      <c r="C795" s="11"/>
      <c r="D795" s="11"/>
      <c r="E795" s="11"/>
      <c r="F795" s="11">
        <f>IF(AND(D795&lt;&gt;"",E795&lt;&gt;""),((TIMEVALUE(E795)-TIMEVALUE(D795))*24*60),"")</f>
      </c>
      <c r="G795" s="11"/>
      <c r="H795" s="11"/>
      <c r="I795" s="11">
        <f>IF(G795="","Pending",IF(G795&gt;=J795,"Accepted",IF(G795&gt;=(J795-Configuration!$C$5),"Tolerance","Refusal")))</f>
      </c>
      <c r="J795" s="11">
        <f>IFERROR(VLOOKUP(B795,'Plot Plan'!$A:$D,4,FALSE),"")</f>
      </c>
      <c r="K795" s="11">
        <f>IFERROR(VLOOKUP(B795,'Plot Plan'!$A:$B,2,FALSE),"")</f>
      </c>
      <c r="L795" s="11">
        <f>IFERROR(VLOOKUP(B795,'Plot Plan'!$A:$C,3,FALSE),"")</f>
      </c>
    </row>
    <row r="796" spans="1:12" s="8" customFormat="1" x14ac:dyDescent="0.25">
      <c r="A796" s="12"/>
      <c r="B796" s="10"/>
      <c r="C796" s="10"/>
      <c r="D796" s="10"/>
      <c r="E796" s="10"/>
      <c r="F796" s="10">
        <f>IF(AND(D796&lt;&gt;"",E796&lt;&gt;""),((TIMEVALUE(E796)-TIMEVALUE(D796))*24*60),"")</f>
      </c>
      <c r="G796" s="10"/>
      <c r="H796" s="10"/>
      <c r="I796" s="10">
        <f>IF(G796="","Pending",IF(G796&gt;=J796,"Accepted",IF(G796&gt;=(J796-Configuration!$C$5),"Tolerance","Refusal")))</f>
      </c>
      <c r="J796" s="10">
        <f>IFERROR(VLOOKUP(B796,'Plot Plan'!$A:$D,4,FALSE),"")</f>
      </c>
      <c r="K796" s="10">
        <f>IFERROR(VLOOKUP(B796,'Plot Plan'!$A:$B,2,FALSE),"")</f>
      </c>
      <c r="L796" s="10">
        <f>IFERROR(VLOOKUP(B796,'Plot Plan'!$A:$C,3,FALSE),"")</f>
      </c>
    </row>
    <row r="797" spans="1:12" x14ac:dyDescent="0.25">
      <c r="A797" s="13"/>
      <c r="B797" s="11"/>
      <c r="C797" s="11"/>
      <c r="D797" s="11"/>
      <c r="E797" s="11"/>
      <c r="F797" s="11">
        <f>IF(AND(D797&lt;&gt;"",E797&lt;&gt;""),((TIMEVALUE(E797)-TIMEVALUE(D797))*24*60),"")</f>
      </c>
      <c r="G797" s="11"/>
      <c r="H797" s="11"/>
      <c r="I797" s="11">
        <f>IF(G797="","Pending",IF(G797&gt;=J797,"Accepted",IF(G797&gt;=(J797-Configuration!$C$5),"Tolerance","Refusal")))</f>
      </c>
      <c r="J797" s="11">
        <f>IFERROR(VLOOKUP(B797,'Plot Plan'!$A:$D,4,FALSE),"")</f>
      </c>
      <c r="K797" s="11">
        <f>IFERROR(VLOOKUP(B797,'Plot Plan'!$A:$B,2,FALSE),"")</f>
      </c>
      <c r="L797" s="11">
        <f>IFERROR(VLOOKUP(B797,'Plot Plan'!$A:$C,3,FALSE),"")</f>
      </c>
    </row>
    <row r="798" spans="1:12" s="8" customFormat="1" x14ac:dyDescent="0.25">
      <c r="A798" s="12"/>
      <c r="B798" s="10"/>
      <c r="C798" s="10"/>
      <c r="D798" s="10"/>
      <c r="E798" s="10"/>
      <c r="F798" s="10">
        <f>IF(AND(D798&lt;&gt;"",E798&lt;&gt;""),((TIMEVALUE(E798)-TIMEVALUE(D798))*24*60),"")</f>
      </c>
      <c r="G798" s="10"/>
      <c r="H798" s="10"/>
      <c r="I798" s="10">
        <f>IF(G798="","Pending",IF(G798&gt;=J798,"Accepted",IF(G798&gt;=(J798-Configuration!$C$5),"Tolerance","Refusal")))</f>
      </c>
      <c r="J798" s="10">
        <f>IFERROR(VLOOKUP(B798,'Plot Plan'!$A:$D,4,FALSE),"")</f>
      </c>
      <c r="K798" s="10">
        <f>IFERROR(VLOOKUP(B798,'Plot Plan'!$A:$B,2,FALSE),"")</f>
      </c>
      <c r="L798" s="10">
        <f>IFERROR(VLOOKUP(B798,'Plot Plan'!$A:$C,3,FALSE),"")</f>
      </c>
    </row>
    <row r="799" spans="1:12" x14ac:dyDescent="0.25">
      <c r="A799" s="13"/>
      <c r="B799" s="11"/>
      <c r="C799" s="11"/>
      <c r="D799" s="11"/>
      <c r="E799" s="11"/>
      <c r="F799" s="11">
        <f>IF(AND(D799&lt;&gt;"",E799&lt;&gt;""),((TIMEVALUE(E799)-TIMEVALUE(D799))*24*60),"")</f>
      </c>
      <c r="G799" s="11"/>
      <c r="H799" s="11"/>
      <c r="I799" s="11">
        <f>IF(G799="","Pending",IF(G799&gt;=J799,"Accepted",IF(G799&gt;=(J799-Configuration!$C$5),"Tolerance","Refusal")))</f>
      </c>
      <c r="J799" s="11">
        <f>IFERROR(VLOOKUP(B799,'Plot Plan'!$A:$D,4,FALSE),"")</f>
      </c>
      <c r="K799" s="11">
        <f>IFERROR(VLOOKUP(B799,'Plot Plan'!$A:$B,2,FALSE),"")</f>
      </c>
      <c r="L799" s="11">
        <f>IFERROR(VLOOKUP(B799,'Plot Plan'!$A:$C,3,FALSE),"")</f>
      </c>
    </row>
    <row r="800" spans="1:12" s="8" customFormat="1" x14ac:dyDescent="0.25">
      <c r="A800" s="12"/>
      <c r="B800" s="10"/>
      <c r="C800" s="10"/>
      <c r="D800" s="10"/>
      <c r="E800" s="10"/>
      <c r="F800" s="10">
        <f>IF(AND(D800&lt;&gt;"",E800&lt;&gt;""),((TIMEVALUE(E800)-TIMEVALUE(D800))*24*60),"")</f>
      </c>
      <c r="G800" s="10"/>
      <c r="H800" s="10"/>
      <c r="I800" s="10">
        <f>IF(G800="","Pending",IF(G800&gt;=J800,"Accepted",IF(G800&gt;=(J800-Configuration!$C$5),"Tolerance","Refusal")))</f>
      </c>
      <c r="J800" s="10">
        <f>IFERROR(VLOOKUP(B800,'Plot Plan'!$A:$D,4,FALSE),"")</f>
      </c>
      <c r="K800" s="10">
        <f>IFERROR(VLOOKUP(B800,'Plot Plan'!$A:$B,2,FALSE),"")</f>
      </c>
      <c r="L800" s="10">
        <f>IFERROR(VLOOKUP(B800,'Plot Plan'!$A:$C,3,FALSE),"")</f>
      </c>
    </row>
    <row r="801" spans="1:12" x14ac:dyDescent="0.25">
      <c r="A801" s="13"/>
      <c r="B801" s="11"/>
      <c r="C801" s="11"/>
      <c r="D801" s="11"/>
      <c r="E801" s="11"/>
      <c r="F801" s="11">
        <f>IF(AND(D801&lt;&gt;"",E801&lt;&gt;""),((TIMEVALUE(E801)-TIMEVALUE(D801))*24*60),"")</f>
      </c>
      <c r="G801" s="11"/>
      <c r="H801" s="11"/>
      <c r="I801" s="11">
        <f>IF(G801="","Pending",IF(G801&gt;=J801,"Accepted",IF(G801&gt;=(J801-Configuration!$C$5),"Tolerance","Refusal")))</f>
      </c>
      <c r="J801" s="11">
        <f>IFERROR(VLOOKUP(B801,'Plot Plan'!$A:$D,4,FALSE),"")</f>
      </c>
      <c r="K801" s="11">
        <f>IFERROR(VLOOKUP(B801,'Plot Plan'!$A:$B,2,FALSE),"")</f>
      </c>
      <c r="L801" s="11">
        <f>IFERROR(VLOOKUP(B801,'Plot Plan'!$A:$C,3,FALSE),"")</f>
      </c>
    </row>
    <row r="802" spans="1:12" s="8" customFormat="1" x14ac:dyDescent="0.25">
      <c r="A802" s="12"/>
      <c r="B802" s="10"/>
      <c r="C802" s="10"/>
      <c r="D802" s="10"/>
      <c r="E802" s="10"/>
      <c r="F802" s="10">
        <f>IF(AND(D802&lt;&gt;"",E802&lt;&gt;""),((TIMEVALUE(E802)-TIMEVALUE(D802))*24*60),"")</f>
      </c>
      <c r="G802" s="10"/>
      <c r="H802" s="10"/>
      <c r="I802" s="10">
        <f>IF(G802="","Pending",IF(G802&gt;=J802,"Accepted",IF(G802&gt;=(J802-Configuration!$C$5),"Tolerance","Refusal")))</f>
      </c>
      <c r="J802" s="10">
        <f>IFERROR(VLOOKUP(B802,'Plot Plan'!$A:$D,4,FALSE),"")</f>
      </c>
      <c r="K802" s="10">
        <f>IFERROR(VLOOKUP(B802,'Plot Plan'!$A:$B,2,FALSE),"")</f>
      </c>
      <c r="L802" s="10">
        <f>IFERROR(VLOOKUP(B802,'Plot Plan'!$A:$C,3,FALSE),"")</f>
      </c>
    </row>
    <row r="803" spans="1:12" x14ac:dyDescent="0.25">
      <c r="A803" s="13"/>
      <c r="B803" s="11"/>
      <c r="C803" s="11"/>
      <c r="D803" s="11"/>
      <c r="E803" s="11"/>
      <c r="F803" s="11">
        <f>IF(AND(D803&lt;&gt;"",E803&lt;&gt;""),((TIMEVALUE(E803)-TIMEVALUE(D803))*24*60),"")</f>
      </c>
      <c r="G803" s="11"/>
      <c r="H803" s="11"/>
      <c r="I803" s="11">
        <f>IF(G803="","Pending",IF(G803&gt;=J803,"Accepted",IF(G803&gt;=(J803-Configuration!$C$5),"Tolerance","Refusal")))</f>
      </c>
      <c r="J803" s="11">
        <f>IFERROR(VLOOKUP(B803,'Plot Plan'!$A:$D,4,FALSE),"")</f>
      </c>
      <c r="K803" s="11">
        <f>IFERROR(VLOOKUP(B803,'Plot Plan'!$A:$B,2,FALSE),"")</f>
      </c>
      <c r="L803" s="11">
        <f>IFERROR(VLOOKUP(B803,'Plot Plan'!$A:$C,3,FALSE),"")</f>
      </c>
    </row>
    <row r="804" spans="1:12" s="8" customFormat="1" x14ac:dyDescent="0.25">
      <c r="A804" s="12"/>
      <c r="B804" s="10"/>
      <c r="C804" s="10"/>
      <c r="D804" s="10"/>
      <c r="E804" s="10"/>
      <c r="F804" s="10">
        <f>IF(AND(D804&lt;&gt;"",E804&lt;&gt;""),((TIMEVALUE(E804)-TIMEVALUE(D804))*24*60),"")</f>
      </c>
      <c r="G804" s="10"/>
      <c r="H804" s="10"/>
      <c r="I804" s="10">
        <f>IF(G804="","Pending",IF(G804&gt;=J804,"Accepted",IF(G804&gt;=(J804-Configuration!$C$5),"Tolerance","Refusal")))</f>
      </c>
      <c r="J804" s="10">
        <f>IFERROR(VLOOKUP(B804,'Plot Plan'!$A:$D,4,FALSE),"")</f>
      </c>
      <c r="K804" s="10">
        <f>IFERROR(VLOOKUP(B804,'Plot Plan'!$A:$B,2,FALSE),"")</f>
      </c>
      <c r="L804" s="10">
        <f>IFERROR(VLOOKUP(B804,'Plot Plan'!$A:$C,3,FALSE),"")</f>
      </c>
    </row>
    <row r="805" spans="1:12" x14ac:dyDescent="0.25">
      <c r="A805" s="13"/>
      <c r="B805" s="11"/>
      <c r="C805" s="11"/>
      <c r="D805" s="11"/>
      <c r="E805" s="11"/>
      <c r="F805" s="11">
        <f>IF(AND(D805&lt;&gt;"",E805&lt;&gt;""),((TIMEVALUE(E805)-TIMEVALUE(D805))*24*60),"")</f>
      </c>
      <c r="G805" s="11"/>
      <c r="H805" s="11"/>
      <c r="I805" s="11">
        <f>IF(G805="","Pending",IF(G805&gt;=J805,"Accepted",IF(G805&gt;=(J805-Configuration!$C$5),"Tolerance","Refusal")))</f>
      </c>
      <c r="J805" s="11">
        <f>IFERROR(VLOOKUP(B805,'Plot Plan'!$A:$D,4,FALSE),"")</f>
      </c>
      <c r="K805" s="11">
        <f>IFERROR(VLOOKUP(B805,'Plot Plan'!$A:$B,2,FALSE),"")</f>
      </c>
      <c r="L805" s="11">
        <f>IFERROR(VLOOKUP(B805,'Plot Plan'!$A:$C,3,FALSE),"")</f>
      </c>
    </row>
    <row r="806" spans="1:12" s="8" customFormat="1" x14ac:dyDescent="0.25">
      <c r="A806" s="12"/>
      <c r="B806" s="10"/>
      <c r="C806" s="10"/>
      <c r="D806" s="10"/>
      <c r="E806" s="10"/>
      <c r="F806" s="10">
        <f>IF(AND(D806&lt;&gt;"",E806&lt;&gt;""),((TIMEVALUE(E806)-TIMEVALUE(D806))*24*60),"")</f>
      </c>
      <c r="G806" s="10"/>
      <c r="H806" s="10"/>
      <c r="I806" s="10">
        <f>IF(G806="","Pending",IF(G806&gt;=J806,"Accepted",IF(G806&gt;=(J806-Configuration!$C$5),"Tolerance","Refusal")))</f>
      </c>
      <c r="J806" s="10">
        <f>IFERROR(VLOOKUP(B806,'Plot Plan'!$A:$D,4,FALSE),"")</f>
      </c>
      <c r="K806" s="10">
        <f>IFERROR(VLOOKUP(B806,'Plot Plan'!$A:$B,2,FALSE),"")</f>
      </c>
      <c r="L806" s="10">
        <f>IFERROR(VLOOKUP(B806,'Plot Plan'!$A:$C,3,FALSE),"")</f>
      </c>
    </row>
    <row r="807" spans="1:12" x14ac:dyDescent="0.25">
      <c r="A807" s="13"/>
      <c r="B807" s="11"/>
      <c r="C807" s="11"/>
      <c r="D807" s="11"/>
      <c r="E807" s="11"/>
      <c r="F807" s="11">
        <f>IF(AND(D807&lt;&gt;"",E807&lt;&gt;""),((TIMEVALUE(E807)-TIMEVALUE(D807))*24*60),"")</f>
      </c>
      <c r="G807" s="11"/>
      <c r="H807" s="11"/>
      <c r="I807" s="11">
        <f>IF(G807="","Pending",IF(G807&gt;=J807,"Accepted",IF(G807&gt;=(J807-Configuration!$C$5),"Tolerance","Refusal")))</f>
      </c>
      <c r="J807" s="11">
        <f>IFERROR(VLOOKUP(B807,'Plot Plan'!$A:$D,4,FALSE),"")</f>
      </c>
      <c r="K807" s="11">
        <f>IFERROR(VLOOKUP(B807,'Plot Plan'!$A:$B,2,FALSE),"")</f>
      </c>
      <c r="L807" s="11">
        <f>IFERROR(VLOOKUP(B807,'Plot Plan'!$A:$C,3,FALSE),"")</f>
      </c>
    </row>
    <row r="808" spans="1:12" s="8" customFormat="1" x14ac:dyDescent="0.25">
      <c r="A808" s="12"/>
      <c r="B808" s="10"/>
      <c r="C808" s="10"/>
      <c r="D808" s="10"/>
      <c r="E808" s="10"/>
      <c r="F808" s="10">
        <f>IF(AND(D808&lt;&gt;"",E808&lt;&gt;""),((TIMEVALUE(E808)-TIMEVALUE(D808))*24*60),"")</f>
      </c>
      <c r="G808" s="10"/>
      <c r="H808" s="10"/>
      <c r="I808" s="10">
        <f>IF(G808="","Pending",IF(G808&gt;=J808,"Accepted",IF(G808&gt;=(J808-Configuration!$C$5),"Tolerance","Refusal")))</f>
      </c>
      <c r="J808" s="10">
        <f>IFERROR(VLOOKUP(B808,'Plot Plan'!$A:$D,4,FALSE),"")</f>
      </c>
      <c r="K808" s="10">
        <f>IFERROR(VLOOKUP(B808,'Plot Plan'!$A:$B,2,FALSE),"")</f>
      </c>
      <c r="L808" s="10">
        <f>IFERROR(VLOOKUP(B808,'Plot Plan'!$A:$C,3,FALSE),"")</f>
      </c>
    </row>
    <row r="809" spans="1:12" x14ac:dyDescent="0.25">
      <c r="A809" s="13"/>
      <c r="B809" s="11"/>
      <c r="C809" s="11"/>
      <c r="D809" s="11"/>
      <c r="E809" s="11"/>
      <c r="F809" s="11">
        <f>IF(AND(D809&lt;&gt;"",E809&lt;&gt;""),((TIMEVALUE(E809)-TIMEVALUE(D809))*24*60),"")</f>
      </c>
      <c r="G809" s="11"/>
      <c r="H809" s="11"/>
      <c r="I809" s="11">
        <f>IF(G809="","Pending",IF(G809&gt;=J809,"Accepted",IF(G809&gt;=(J809-Configuration!$C$5),"Tolerance","Refusal")))</f>
      </c>
      <c r="J809" s="11">
        <f>IFERROR(VLOOKUP(B809,'Plot Plan'!$A:$D,4,FALSE),"")</f>
      </c>
      <c r="K809" s="11">
        <f>IFERROR(VLOOKUP(B809,'Plot Plan'!$A:$B,2,FALSE),"")</f>
      </c>
      <c r="L809" s="11">
        <f>IFERROR(VLOOKUP(B809,'Plot Plan'!$A:$C,3,FALSE),"")</f>
      </c>
    </row>
    <row r="810" spans="1:12" s="8" customFormat="1" x14ac:dyDescent="0.25">
      <c r="A810" s="12"/>
      <c r="B810" s="10"/>
      <c r="C810" s="10"/>
      <c r="D810" s="10"/>
      <c r="E810" s="10"/>
      <c r="F810" s="10">
        <f>IF(AND(D810&lt;&gt;"",E810&lt;&gt;""),((TIMEVALUE(E810)-TIMEVALUE(D810))*24*60),"")</f>
      </c>
      <c r="G810" s="10"/>
      <c r="H810" s="10"/>
      <c r="I810" s="10">
        <f>IF(G810="","Pending",IF(G810&gt;=J810,"Accepted",IF(G810&gt;=(J810-Configuration!$C$5),"Tolerance","Refusal")))</f>
      </c>
      <c r="J810" s="10">
        <f>IFERROR(VLOOKUP(B810,'Plot Plan'!$A:$D,4,FALSE),"")</f>
      </c>
      <c r="K810" s="10">
        <f>IFERROR(VLOOKUP(B810,'Plot Plan'!$A:$B,2,FALSE),"")</f>
      </c>
      <c r="L810" s="10">
        <f>IFERROR(VLOOKUP(B810,'Plot Plan'!$A:$C,3,FALSE),"")</f>
      </c>
    </row>
    <row r="811" spans="1:12" x14ac:dyDescent="0.25">
      <c r="A811" s="13"/>
      <c r="B811" s="11"/>
      <c r="C811" s="11"/>
      <c r="D811" s="11"/>
      <c r="E811" s="11"/>
      <c r="F811" s="11">
        <f>IF(AND(D811&lt;&gt;"",E811&lt;&gt;""),((TIMEVALUE(E811)-TIMEVALUE(D811))*24*60),"")</f>
      </c>
      <c r="G811" s="11"/>
      <c r="H811" s="11"/>
      <c r="I811" s="11">
        <f>IF(G811="","Pending",IF(G811&gt;=J811,"Accepted",IF(G811&gt;=(J811-Configuration!$C$5),"Tolerance","Refusal")))</f>
      </c>
      <c r="J811" s="11">
        <f>IFERROR(VLOOKUP(B811,'Plot Plan'!$A:$D,4,FALSE),"")</f>
      </c>
      <c r="K811" s="11">
        <f>IFERROR(VLOOKUP(B811,'Plot Plan'!$A:$B,2,FALSE),"")</f>
      </c>
      <c r="L811" s="11">
        <f>IFERROR(VLOOKUP(B811,'Plot Plan'!$A:$C,3,FALSE),"")</f>
      </c>
    </row>
    <row r="812" spans="1:12" s="8" customFormat="1" x14ac:dyDescent="0.25">
      <c r="A812" s="12"/>
      <c r="B812" s="10"/>
      <c r="C812" s="10"/>
      <c r="D812" s="10"/>
      <c r="E812" s="10"/>
      <c r="F812" s="10">
        <f>IF(AND(D812&lt;&gt;"",E812&lt;&gt;""),((TIMEVALUE(E812)-TIMEVALUE(D812))*24*60),"")</f>
      </c>
      <c r="G812" s="10"/>
      <c r="H812" s="10"/>
      <c r="I812" s="10">
        <f>IF(G812="","Pending",IF(G812&gt;=J812,"Accepted",IF(G812&gt;=(J812-Configuration!$C$5),"Tolerance","Refusal")))</f>
      </c>
      <c r="J812" s="10">
        <f>IFERROR(VLOOKUP(B812,'Plot Plan'!$A:$D,4,FALSE),"")</f>
      </c>
      <c r="K812" s="10">
        <f>IFERROR(VLOOKUP(B812,'Plot Plan'!$A:$B,2,FALSE),"")</f>
      </c>
      <c r="L812" s="10">
        <f>IFERROR(VLOOKUP(B812,'Plot Plan'!$A:$C,3,FALSE),"")</f>
      </c>
    </row>
    <row r="813" spans="1:12" x14ac:dyDescent="0.25">
      <c r="A813" s="13"/>
      <c r="B813" s="11"/>
      <c r="C813" s="11"/>
      <c r="D813" s="11"/>
      <c r="E813" s="11"/>
      <c r="F813" s="11">
        <f>IF(AND(D813&lt;&gt;"",E813&lt;&gt;""),((TIMEVALUE(E813)-TIMEVALUE(D813))*24*60),"")</f>
      </c>
      <c r="G813" s="11"/>
      <c r="H813" s="11"/>
      <c r="I813" s="11">
        <f>IF(G813="","Pending",IF(G813&gt;=J813,"Accepted",IF(G813&gt;=(J813-Configuration!$C$5),"Tolerance","Refusal")))</f>
      </c>
      <c r="J813" s="11">
        <f>IFERROR(VLOOKUP(B813,'Plot Plan'!$A:$D,4,FALSE),"")</f>
      </c>
      <c r="K813" s="11">
        <f>IFERROR(VLOOKUP(B813,'Plot Plan'!$A:$B,2,FALSE),"")</f>
      </c>
      <c r="L813" s="11">
        <f>IFERROR(VLOOKUP(B813,'Plot Plan'!$A:$C,3,FALSE),"")</f>
      </c>
    </row>
    <row r="814" spans="1:12" s="8" customFormat="1" x14ac:dyDescent="0.25">
      <c r="A814" s="12"/>
      <c r="B814" s="10"/>
      <c r="C814" s="10"/>
      <c r="D814" s="10"/>
      <c r="E814" s="10"/>
      <c r="F814" s="10">
        <f>IF(AND(D814&lt;&gt;"",E814&lt;&gt;""),((TIMEVALUE(E814)-TIMEVALUE(D814))*24*60),"")</f>
      </c>
      <c r="G814" s="10"/>
      <c r="H814" s="10"/>
      <c r="I814" s="10">
        <f>IF(G814="","Pending",IF(G814&gt;=J814,"Accepted",IF(G814&gt;=(J814-Configuration!$C$5),"Tolerance","Refusal")))</f>
      </c>
      <c r="J814" s="10">
        <f>IFERROR(VLOOKUP(B814,'Plot Plan'!$A:$D,4,FALSE),"")</f>
      </c>
      <c r="K814" s="10">
        <f>IFERROR(VLOOKUP(B814,'Plot Plan'!$A:$B,2,FALSE),"")</f>
      </c>
      <c r="L814" s="10">
        <f>IFERROR(VLOOKUP(B814,'Plot Plan'!$A:$C,3,FALSE),"")</f>
      </c>
    </row>
    <row r="815" spans="1:12" x14ac:dyDescent="0.25">
      <c r="A815" s="13"/>
      <c r="B815" s="11"/>
      <c r="C815" s="11"/>
      <c r="D815" s="11"/>
      <c r="E815" s="11"/>
      <c r="F815" s="11">
        <f>IF(AND(D815&lt;&gt;"",E815&lt;&gt;""),((TIMEVALUE(E815)-TIMEVALUE(D815))*24*60),"")</f>
      </c>
      <c r="G815" s="11"/>
      <c r="H815" s="11"/>
      <c r="I815" s="11">
        <f>IF(G815="","Pending",IF(G815&gt;=J815,"Accepted",IF(G815&gt;=(J815-Configuration!$C$5),"Tolerance","Refusal")))</f>
      </c>
      <c r="J815" s="11">
        <f>IFERROR(VLOOKUP(B815,'Plot Plan'!$A:$D,4,FALSE),"")</f>
      </c>
      <c r="K815" s="11">
        <f>IFERROR(VLOOKUP(B815,'Plot Plan'!$A:$B,2,FALSE),"")</f>
      </c>
      <c r="L815" s="11">
        <f>IFERROR(VLOOKUP(B815,'Plot Plan'!$A:$C,3,FALSE),"")</f>
      </c>
    </row>
    <row r="816" spans="1:12" s="8" customFormat="1" x14ac:dyDescent="0.25">
      <c r="A816" s="12"/>
      <c r="B816" s="10"/>
      <c r="C816" s="10"/>
      <c r="D816" s="10"/>
      <c r="E816" s="10"/>
      <c r="F816" s="10">
        <f>IF(AND(D816&lt;&gt;"",E816&lt;&gt;""),((TIMEVALUE(E816)-TIMEVALUE(D816))*24*60),"")</f>
      </c>
      <c r="G816" s="10"/>
      <c r="H816" s="10"/>
      <c r="I816" s="10">
        <f>IF(G816="","Pending",IF(G816&gt;=J816,"Accepted",IF(G816&gt;=(J816-Configuration!$C$5),"Tolerance","Refusal")))</f>
      </c>
      <c r="J816" s="10">
        <f>IFERROR(VLOOKUP(B816,'Plot Plan'!$A:$D,4,FALSE),"")</f>
      </c>
      <c r="K816" s="10">
        <f>IFERROR(VLOOKUP(B816,'Plot Plan'!$A:$B,2,FALSE),"")</f>
      </c>
      <c r="L816" s="10">
        <f>IFERROR(VLOOKUP(B816,'Plot Plan'!$A:$C,3,FALSE),"")</f>
      </c>
    </row>
    <row r="817" spans="1:12" x14ac:dyDescent="0.25">
      <c r="A817" s="13"/>
      <c r="B817" s="11"/>
      <c r="C817" s="11"/>
      <c r="D817" s="11"/>
      <c r="E817" s="11"/>
      <c r="F817" s="11">
        <f>IF(AND(D817&lt;&gt;"",E817&lt;&gt;""),((TIMEVALUE(E817)-TIMEVALUE(D817))*24*60),"")</f>
      </c>
      <c r="G817" s="11"/>
      <c r="H817" s="11"/>
      <c r="I817" s="11">
        <f>IF(G817="","Pending",IF(G817&gt;=J817,"Accepted",IF(G817&gt;=(J817-Configuration!$C$5),"Tolerance","Refusal")))</f>
      </c>
      <c r="J817" s="11">
        <f>IFERROR(VLOOKUP(B817,'Plot Plan'!$A:$D,4,FALSE),"")</f>
      </c>
      <c r="K817" s="11">
        <f>IFERROR(VLOOKUP(B817,'Plot Plan'!$A:$B,2,FALSE),"")</f>
      </c>
      <c r="L817" s="11">
        <f>IFERROR(VLOOKUP(B817,'Plot Plan'!$A:$C,3,FALSE),"")</f>
      </c>
    </row>
    <row r="818" spans="1:12" s="8" customFormat="1" x14ac:dyDescent="0.25">
      <c r="A818" s="12"/>
      <c r="B818" s="10"/>
      <c r="C818" s="10"/>
      <c r="D818" s="10"/>
      <c r="E818" s="10"/>
      <c r="F818" s="10">
        <f>IF(AND(D818&lt;&gt;"",E818&lt;&gt;""),((TIMEVALUE(E818)-TIMEVALUE(D818))*24*60),"")</f>
      </c>
      <c r="G818" s="10"/>
      <c r="H818" s="10"/>
      <c r="I818" s="10">
        <f>IF(G818="","Pending",IF(G818&gt;=J818,"Accepted",IF(G818&gt;=(J818-Configuration!$C$5),"Tolerance","Refusal")))</f>
      </c>
      <c r="J818" s="10">
        <f>IFERROR(VLOOKUP(B818,'Plot Plan'!$A:$D,4,FALSE),"")</f>
      </c>
      <c r="K818" s="10">
        <f>IFERROR(VLOOKUP(B818,'Plot Plan'!$A:$B,2,FALSE),"")</f>
      </c>
      <c r="L818" s="10">
        <f>IFERROR(VLOOKUP(B818,'Plot Plan'!$A:$C,3,FALSE),"")</f>
      </c>
    </row>
    <row r="819" spans="1:12" x14ac:dyDescent="0.25">
      <c r="A819" s="13"/>
      <c r="B819" s="11"/>
      <c r="C819" s="11"/>
      <c r="D819" s="11"/>
      <c r="E819" s="11"/>
      <c r="F819" s="11">
        <f>IF(AND(D819&lt;&gt;"",E819&lt;&gt;""),((TIMEVALUE(E819)-TIMEVALUE(D819))*24*60),"")</f>
      </c>
      <c r="G819" s="11"/>
      <c r="H819" s="11"/>
      <c r="I819" s="11">
        <f>IF(G819="","Pending",IF(G819&gt;=J819,"Accepted",IF(G819&gt;=(J819-Configuration!$C$5),"Tolerance","Refusal")))</f>
      </c>
      <c r="J819" s="11">
        <f>IFERROR(VLOOKUP(B819,'Plot Plan'!$A:$D,4,FALSE),"")</f>
      </c>
      <c r="K819" s="11">
        <f>IFERROR(VLOOKUP(B819,'Plot Plan'!$A:$B,2,FALSE),"")</f>
      </c>
      <c r="L819" s="11">
        <f>IFERROR(VLOOKUP(B819,'Plot Plan'!$A:$C,3,FALSE),"")</f>
      </c>
    </row>
    <row r="820" spans="1:12" s="8" customFormat="1" x14ac:dyDescent="0.25">
      <c r="A820" s="12"/>
      <c r="B820" s="10"/>
      <c r="C820" s="10"/>
      <c r="D820" s="10"/>
      <c r="E820" s="10"/>
      <c r="F820" s="10">
        <f>IF(AND(D820&lt;&gt;"",E820&lt;&gt;""),((TIMEVALUE(E820)-TIMEVALUE(D820))*24*60),"")</f>
      </c>
      <c r="G820" s="10"/>
      <c r="H820" s="10"/>
      <c r="I820" s="10">
        <f>IF(G820="","Pending",IF(G820&gt;=J820,"Accepted",IF(G820&gt;=(J820-Configuration!$C$5),"Tolerance","Refusal")))</f>
      </c>
      <c r="J820" s="10">
        <f>IFERROR(VLOOKUP(B820,'Plot Plan'!$A:$D,4,FALSE),"")</f>
      </c>
      <c r="K820" s="10">
        <f>IFERROR(VLOOKUP(B820,'Plot Plan'!$A:$B,2,FALSE),"")</f>
      </c>
      <c r="L820" s="10">
        <f>IFERROR(VLOOKUP(B820,'Plot Plan'!$A:$C,3,FALSE),"")</f>
      </c>
    </row>
    <row r="821" spans="1:12" x14ac:dyDescent="0.25">
      <c r="A821" s="13"/>
      <c r="B821" s="11"/>
      <c r="C821" s="11"/>
      <c r="D821" s="11"/>
      <c r="E821" s="11"/>
      <c r="F821" s="11">
        <f>IF(AND(D821&lt;&gt;"",E821&lt;&gt;""),((TIMEVALUE(E821)-TIMEVALUE(D821))*24*60),"")</f>
      </c>
      <c r="G821" s="11"/>
      <c r="H821" s="11"/>
      <c r="I821" s="11">
        <f>IF(G821="","Pending",IF(G821&gt;=J821,"Accepted",IF(G821&gt;=(J821-Configuration!$C$5),"Tolerance","Refusal")))</f>
      </c>
      <c r="J821" s="11">
        <f>IFERROR(VLOOKUP(B821,'Plot Plan'!$A:$D,4,FALSE),"")</f>
      </c>
      <c r="K821" s="11">
        <f>IFERROR(VLOOKUP(B821,'Plot Plan'!$A:$B,2,FALSE),"")</f>
      </c>
      <c r="L821" s="11">
        <f>IFERROR(VLOOKUP(B821,'Plot Plan'!$A:$C,3,FALSE),"")</f>
      </c>
    </row>
    <row r="822" spans="1:12" s="8" customFormat="1" x14ac:dyDescent="0.25">
      <c r="A822" s="12"/>
      <c r="B822" s="10"/>
      <c r="C822" s="10"/>
      <c r="D822" s="10"/>
      <c r="E822" s="10"/>
      <c r="F822" s="10">
        <f>IF(AND(D822&lt;&gt;"",E822&lt;&gt;""),((TIMEVALUE(E822)-TIMEVALUE(D822))*24*60),"")</f>
      </c>
      <c r="G822" s="10"/>
      <c r="H822" s="10"/>
      <c r="I822" s="10">
        <f>IF(G822="","Pending",IF(G822&gt;=J822,"Accepted",IF(G822&gt;=(J822-Configuration!$C$5),"Tolerance","Refusal")))</f>
      </c>
      <c r="J822" s="10">
        <f>IFERROR(VLOOKUP(B822,'Plot Plan'!$A:$D,4,FALSE),"")</f>
      </c>
      <c r="K822" s="10">
        <f>IFERROR(VLOOKUP(B822,'Plot Plan'!$A:$B,2,FALSE),"")</f>
      </c>
      <c r="L822" s="10">
        <f>IFERROR(VLOOKUP(B822,'Plot Plan'!$A:$C,3,FALSE),"")</f>
      </c>
    </row>
    <row r="823" spans="1:12" x14ac:dyDescent="0.25">
      <c r="A823" s="13"/>
      <c r="B823" s="11"/>
      <c r="C823" s="11"/>
      <c r="D823" s="11"/>
      <c r="E823" s="11"/>
      <c r="F823" s="11">
        <f>IF(AND(D823&lt;&gt;"",E823&lt;&gt;""),((TIMEVALUE(E823)-TIMEVALUE(D823))*24*60),"")</f>
      </c>
      <c r="G823" s="11"/>
      <c r="H823" s="11"/>
      <c r="I823" s="11">
        <f>IF(G823="","Pending",IF(G823&gt;=J823,"Accepted",IF(G823&gt;=(J823-Configuration!$C$5),"Tolerance","Refusal")))</f>
      </c>
      <c r="J823" s="11">
        <f>IFERROR(VLOOKUP(B823,'Plot Plan'!$A:$D,4,FALSE),"")</f>
      </c>
      <c r="K823" s="11">
        <f>IFERROR(VLOOKUP(B823,'Plot Plan'!$A:$B,2,FALSE),"")</f>
      </c>
      <c r="L823" s="11">
        <f>IFERROR(VLOOKUP(B823,'Plot Plan'!$A:$C,3,FALSE),"")</f>
      </c>
    </row>
    <row r="824" spans="1:12" s="8" customFormat="1" x14ac:dyDescent="0.25">
      <c r="A824" s="12"/>
      <c r="B824" s="10"/>
      <c r="C824" s="10"/>
      <c r="D824" s="10"/>
      <c r="E824" s="10"/>
      <c r="F824" s="10">
        <f>IF(AND(D824&lt;&gt;"",E824&lt;&gt;""),((TIMEVALUE(E824)-TIMEVALUE(D824))*24*60),"")</f>
      </c>
      <c r="G824" s="10"/>
      <c r="H824" s="10"/>
      <c r="I824" s="10">
        <f>IF(G824="","Pending",IF(G824&gt;=J824,"Accepted",IF(G824&gt;=(J824-Configuration!$C$5),"Tolerance","Refusal")))</f>
      </c>
      <c r="J824" s="10">
        <f>IFERROR(VLOOKUP(B824,'Plot Plan'!$A:$D,4,FALSE),"")</f>
      </c>
      <c r="K824" s="10">
        <f>IFERROR(VLOOKUP(B824,'Plot Plan'!$A:$B,2,FALSE),"")</f>
      </c>
      <c r="L824" s="10">
        <f>IFERROR(VLOOKUP(B824,'Plot Plan'!$A:$C,3,FALSE),"")</f>
      </c>
    </row>
    <row r="825" spans="1:12" x14ac:dyDescent="0.25">
      <c r="A825" s="13"/>
      <c r="B825" s="11"/>
      <c r="C825" s="11"/>
      <c r="D825" s="11"/>
      <c r="E825" s="11"/>
      <c r="F825" s="11">
        <f>IF(AND(D825&lt;&gt;"",E825&lt;&gt;""),((TIMEVALUE(E825)-TIMEVALUE(D825))*24*60),"")</f>
      </c>
      <c r="G825" s="11"/>
      <c r="H825" s="11"/>
      <c r="I825" s="11">
        <f>IF(G825="","Pending",IF(G825&gt;=J825,"Accepted",IF(G825&gt;=(J825-Configuration!$C$5),"Tolerance","Refusal")))</f>
      </c>
      <c r="J825" s="11">
        <f>IFERROR(VLOOKUP(B825,'Plot Plan'!$A:$D,4,FALSE),"")</f>
      </c>
      <c r="K825" s="11">
        <f>IFERROR(VLOOKUP(B825,'Plot Plan'!$A:$B,2,FALSE),"")</f>
      </c>
      <c r="L825" s="11">
        <f>IFERROR(VLOOKUP(B825,'Plot Plan'!$A:$C,3,FALSE),"")</f>
      </c>
    </row>
    <row r="826" spans="1:12" s="8" customFormat="1" x14ac:dyDescent="0.25">
      <c r="A826" s="12"/>
      <c r="B826" s="10"/>
      <c r="C826" s="10"/>
      <c r="D826" s="10"/>
      <c r="E826" s="10"/>
      <c r="F826" s="10">
        <f>IF(AND(D826&lt;&gt;"",E826&lt;&gt;""),((TIMEVALUE(E826)-TIMEVALUE(D826))*24*60),"")</f>
      </c>
      <c r="G826" s="10"/>
      <c r="H826" s="10"/>
      <c r="I826" s="10">
        <f>IF(G826="","Pending",IF(G826&gt;=J826,"Accepted",IF(G826&gt;=(J826-Configuration!$C$5),"Tolerance","Refusal")))</f>
      </c>
      <c r="J826" s="10">
        <f>IFERROR(VLOOKUP(B826,'Plot Plan'!$A:$D,4,FALSE),"")</f>
      </c>
      <c r="K826" s="10">
        <f>IFERROR(VLOOKUP(B826,'Plot Plan'!$A:$B,2,FALSE),"")</f>
      </c>
      <c r="L826" s="10">
        <f>IFERROR(VLOOKUP(B826,'Plot Plan'!$A:$C,3,FALSE),"")</f>
      </c>
    </row>
    <row r="827" spans="1:12" x14ac:dyDescent="0.25">
      <c r="A827" s="13"/>
      <c r="B827" s="11"/>
      <c r="C827" s="11"/>
      <c r="D827" s="11"/>
      <c r="E827" s="11"/>
      <c r="F827" s="11">
        <f>IF(AND(D827&lt;&gt;"",E827&lt;&gt;""),((TIMEVALUE(E827)-TIMEVALUE(D827))*24*60),"")</f>
      </c>
      <c r="G827" s="11"/>
      <c r="H827" s="11"/>
      <c r="I827" s="11">
        <f>IF(G827="","Pending",IF(G827&gt;=J827,"Accepted",IF(G827&gt;=(J827-Configuration!$C$5),"Tolerance","Refusal")))</f>
      </c>
      <c r="J827" s="11">
        <f>IFERROR(VLOOKUP(B827,'Plot Plan'!$A:$D,4,FALSE),"")</f>
      </c>
      <c r="K827" s="11">
        <f>IFERROR(VLOOKUP(B827,'Plot Plan'!$A:$B,2,FALSE),"")</f>
      </c>
      <c r="L827" s="11">
        <f>IFERROR(VLOOKUP(B827,'Plot Plan'!$A:$C,3,FALSE),"")</f>
      </c>
    </row>
    <row r="828" spans="1:12" s="8" customFormat="1" x14ac:dyDescent="0.25">
      <c r="A828" s="12"/>
      <c r="B828" s="10"/>
      <c r="C828" s="10"/>
      <c r="D828" s="10"/>
      <c r="E828" s="10"/>
      <c r="F828" s="10">
        <f>IF(AND(D828&lt;&gt;"",E828&lt;&gt;""),((TIMEVALUE(E828)-TIMEVALUE(D828))*24*60),"")</f>
      </c>
      <c r="G828" s="10"/>
      <c r="H828" s="10"/>
      <c r="I828" s="10">
        <f>IF(G828="","Pending",IF(G828&gt;=J828,"Accepted",IF(G828&gt;=(J828-Configuration!$C$5),"Tolerance","Refusal")))</f>
      </c>
      <c r="J828" s="10">
        <f>IFERROR(VLOOKUP(B828,'Plot Plan'!$A:$D,4,FALSE),"")</f>
      </c>
      <c r="K828" s="10">
        <f>IFERROR(VLOOKUP(B828,'Plot Plan'!$A:$B,2,FALSE),"")</f>
      </c>
      <c r="L828" s="10">
        <f>IFERROR(VLOOKUP(B828,'Plot Plan'!$A:$C,3,FALSE),"")</f>
      </c>
    </row>
    <row r="829" spans="1:12" x14ac:dyDescent="0.25">
      <c r="A829" s="13"/>
      <c r="B829" s="11"/>
      <c r="C829" s="11"/>
      <c r="D829" s="11"/>
      <c r="E829" s="11"/>
      <c r="F829" s="11">
        <f>IF(AND(D829&lt;&gt;"",E829&lt;&gt;""),((TIMEVALUE(E829)-TIMEVALUE(D829))*24*60),"")</f>
      </c>
      <c r="G829" s="11"/>
      <c r="H829" s="11"/>
      <c r="I829" s="11">
        <f>IF(G829="","Pending",IF(G829&gt;=J829,"Accepted",IF(G829&gt;=(J829-Configuration!$C$5),"Tolerance","Refusal")))</f>
      </c>
      <c r="J829" s="11">
        <f>IFERROR(VLOOKUP(B829,'Plot Plan'!$A:$D,4,FALSE),"")</f>
      </c>
      <c r="K829" s="11">
        <f>IFERROR(VLOOKUP(B829,'Plot Plan'!$A:$B,2,FALSE),"")</f>
      </c>
      <c r="L829" s="11">
        <f>IFERROR(VLOOKUP(B829,'Plot Plan'!$A:$C,3,FALSE),"")</f>
      </c>
    </row>
    <row r="830" spans="1:12" s="8" customFormat="1" x14ac:dyDescent="0.25">
      <c r="A830" s="12"/>
      <c r="B830" s="10"/>
      <c r="C830" s="10"/>
      <c r="D830" s="10"/>
      <c r="E830" s="10"/>
      <c r="F830" s="10">
        <f>IF(AND(D830&lt;&gt;"",E830&lt;&gt;""),((TIMEVALUE(E830)-TIMEVALUE(D830))*24*60),"")</f>
      </c>
      <c r="G830" s="10"/>
      <c r="H830" s="10"/>
      <c r="I830" s="10">
        <f>IF(G830="","Pending",IF(G830&gt;=J830,"Accepted",IF(G830&gt;=(J830-Configuration!$C$5),"Tolerance","Refusal")))</f>
      </c>
      <c r="J830" s="10">
        <f>IFERROR(VLOOKUP(B830,'Plot Plan'!$A:$D,4,FALSE),"")</f>
      </c>
      <c r="K830" s="10">
        <f>IFERROR(VLOOKUP(B830,'Plot Plan'!$A:$B,2,FALSE),"")</f>
      </c>
      <c r="L830" s="10">
        <f>IFERROR(VLOOKUP(B830,'Plot Plan'!$A:$C,3,FALSE),"")</f>
      </c>
    </row>
    <row r="831" spans="1:12" x14ac:dyDescent="0.25">
      <c r="A831" s="13"/>
      <c r="B831" s="11"/>
      <c r="C831" s="11"/>
      <c r="D831" s="11"/>
      <c r="E831" s="11"/>
      <c r="F831" s="11">
        <f>IF(AND(D831&lt;&gt;"",E831&lt;&gt;""),((TIMEVALUE(E831)-TIMEVALUE(D831))*24*60),"")</f>
      </c>
      <c r="G831" s="11"/>
      <c r="H831" s="11"/>
      <c r="I831" s="11">
        <f>IF(G831="","Pending",IF(G831&gt;=J831,"Accepted",IF(G831&gt;=(J831-Configuration!$C$5),"Tolerance","Refusal")))</f>
      </c>
      <c r="J831" s="11">
        <f>IFERROR(VLOOKUP(B831,'Plot Plan'!$A:$D,4,FALSE),"")</f>
      </c>
      <c r="K831" s="11">
        <f>IFERROR(VLOOKUP(B831,'Plot Plan'!$A:$B,2,FALSE),"")</f>
      </c>
      <c r="L831" s="11">
        <f>IFERROR(VLOOKUP(B831,'Plot Plan'!$A:$C,3,FALSE),"")</f>
      </c>
    </row>
    <row r="832" spans="1:12" s="8" customFormat="1" x14ac:dyDescent="0.25">
      <c r="A832" s="12"/>
      <c r="B832" s="10"/>
      <c r="C832" s="10"/>
      <c r="D832" s="10"/>
      <c r="E832" s="10"/>
      <c r="F832" s="10">
        <f>IF(AND(D832&lt;&gt;"",E832&lt;&gt;""),((TIMEVALUE(E832)-TIMEVALUE(D832))*24*60),"")</f>
      </c>
      <c r="G832" s="10"/>
      <c r="H832" s="10"/>
      <c r="I832" s="10">
        <f>IF(G832="","Pending",IF(G832&gt;=J832,"Accepted",IF(G832&gt;=(J832-Configuration!$C$5),"Tolerance","Refusal")))</f>
      </c>
      <c r="J832" s="10">
        <f>IFERROR(VLOOKUP(B832,'Plot Plan'!$A:$D,4,FALSE),"")</f>
      </c>
      <c r="K832" s="10">
        <f>IFERROR(VLOOKUP(B832,'Plot Plan'!$A:$B,2,FALSE),"")</f>
      </c>
      <c r="L832" s="10">
        <f>IFERROR(VLOOKUP(B832,'Plot Plan'!$A:$C,3,FALSE),"")</f>
      </c>
    </row>
    <row r="833" spans="1:12" x14ac:dyDescent="0.25">
      <c r="A833" s="13"/>
      <c r="B833" s="11"/>
      <c r="C833" s="11"/>
      <c r="D833" s="11"/>
      <c r="E833" s="11"/>
      <c r="F833" s="11">
        <f>IF(AND(D833&lt;&gt;"",E833&lt;&gt;""),((TIMEVALUE(E833)-TIMEVALUE(D833))*24*60),"")</f>
      </c>
      <c r="G833" s="11"/>
      <c r="H833" s="11"/>
      <c r="I833" s="11">
        <f>IF(G833="","Pending",IF(G833&gt;=J833,"Accepted",IF(G833&gt;=(J833-Configuration!$C$5),"Tolerance","Refusal")))</f>
      </c>
      <c r="J833" s="11">
        <f>IFERROR(VLOOKUP(B833,'Plot Plan'!$A:$D,4,FALSE),"")</f>
      </c>
      <c r="K833" s="11">
        <f>IFERROR(VLOOKUP(B833,'Plot Plan'!$A:$B,2,FALSE),"")</f>
      </c>
      <c r="L833" s="11">
        <f>IFERROR(VLOOKUP(B833,'Plot Plan'!$A:$C,3,FALSE),"")</f>
      </c>
    </row>
    <row r="834" spans="1:12" s="8" customFormat="1" x14ac:dyDescent="0.25">
      <c r="A834" s="12"/>
      <c r="B834" s="10"/>
      <c r="C834" s="10"/>
      <c r="D834" s="10"/>
      <c r="E834" s="10"/>
      <c r="F834" s="10">
        <f>IF(AND(D834&lt;&gt;"",E834&lt;&gt;""),((TIMEVALUE(E834)-TIMEVALUE(D834))*24*60),"")</f>
      </c>
      <c r="G834" s="10"/>
      <c r="H834" s="10"/>
      <c r="I834" s="10">
        <f>IF(G834="","Pending",IF(G834&gt;=J834,"Accepted",IF(G834&gt;=(J834-Configuration!$C$5),"Tolerance","Refusal")))</f>
      </c>
      <c r="J834" s="10">
        <f>IFERROR(VLOOKUP(B834,'Plot Plan'!$A:$D,4,FALSE),"")</f>
      </c>
      <c r="K834" s="10">
        <f>IFERROR(VLOOKUP(B834,'Plot Plan'!$A:$B,2,FALSE),"")</f>
      </c>
      <c r="L834" s="10">
        <f>IFERROR(VLOOKUP(B834,'Plot Plan'!$A:$C,3,FALSE),"")</f>
      </c>
    </row>
    <row r="835" spans="1:12" x14ac:dyDescent="0.25">
      <c r="A835" s="13"/>
      <c r="B835" s="11"/>
      <c r="C835" s="11"/>
      <c r="D835" s="11"/>
      <c r="E835" s="11"/>
      <c r="F835" s="11">
        <f>IF(AND(D835&lt;&gt;"",E835&lt;&gt;""),((TIMEVALUE(E835)-TIMEVALUE(D835))*24*60),"")</f>
      </c>
      <c r="G835" s="11"/>
      <c r="H835" s="11"/>
      <c r="I835" s="11">
        <f>IF(G835="","Pending",IF(G835&gt;=J835,"Accepted",IF(G835&gt;=(J835-Configuration!$C$5),"Tolerance","Refusal")))</f>
      </c>
      <c r="J835" s="11">
        <f>IFERROR(VLOOKUP(B835,'Plot Plan'!$A:$D,4,FALSE),"")</f>
      </c>
      <c r="K835" s="11">
        <f>IFERROR(VLOOKUP(B835,'Plot Plan'!$A:$B,2,FALSE),"")</f>
      </c>
      <c r="L835" s="11">
        <f>IFERROR(VLOOKUP(B835,'Plot Plan'!$A:$C,3,FALSE),"")</f>
      </c>
    </row>
    <row r="836" spans="1:12" s="8" customFormat="1" x14ac:dyDescent="0.25">
      <c r="A836" s="12"/>
      <c r="B836" s="10"/>
      <c r="C836" s="10"/>
      <c r="D836" s="10"/>
      <c r="E836" s="10"/>
      <c r="F836" s="10">
        <f>IF(AND(D836&lt;&gt;"",E836&lt;&gt;""),((TIMEVALUE(E836)-TIMEVALUE(D836))*24*60),"")</f>
      </c>
      <c r="G836" s="10"/>
      <c r="H836" s="10"/>
      <c r="I836" s="10">
        <f>IF(G836="","Pending",IF(G836&gt;=J836,"Accepted",IF(G836&gt;=(J836-Configuration!$C$5),"Tolerance","Refusal")))</f>
      </c>
      <c r="J836" s="10">
        <f>IFERROR(VLOOKUP(B836,'Plot Plan'!$A:$D,4,FALSE),"")</f>
      </c>
      <c r="K836" s="10">
        <f>IFERROR(VLOOKUP(B836,'Plot Plan'!$A:$B,2,FALSE),"")</f>
      </c>
      <c r="L836" s="10">
        <f>IFERROR(VLOOKUP(B836,'Plot Plan'!$A:$C,3,FALSE),"")</f>
      </c>
    </row>
    <row r="837" spans="1:12" x14ac:dyDescent="0.25">
      <c r="A837" s="13"/>
      <c r="B837" s="11"/>
      <c r="C837" s="11"/>
      <c r="D837" s="11"/>
      <c r="E837" s="11"/>
      <c r="F837" s="11">
        <f>IF(AND(D837&lt;&gt;"",E837&lt;&gt;""),((TIMEVALUE(E837)-TIMEVALUE(D837))*24*60),"")</f>
      </c>
      <c r="G837" s="11"/>
      <c r="H837" s="11"/>
      <c r="I837" s="11">
        <f>IF(G837="","Pending",IF(G837&gt;=J837,"Accepted",IF(G837&gt;=(J837-Configuration!$C$5),"Tolerance","Refusal")))</f>
      </c>
      <c r="J837" s="11">
        <f>IFERROR(VLOOKUP(B837,'Plot Plan'!$A:$D,4,FALSE),"")</f>
      </c>
      <c r="K837" s="11">
        <f>IFERROR(VLOOKUP(B837,'Plot Plan'!$A:$B,2,FALSE),"")</f>
      </c>
      <c r="L837" s="11">
        <f>IFERROR(VLOOKUP(B837,'Plot Plan'!$A:$C,3,FALSE),"")</f>
      </c>
    </row>
    <row r="838" spans="1:12" s="8" customFormat="1" x14ac:dyDescent="0.25">
      <c r="A838" s="12"/>
      <c r="B838" s="10"/>
      <c r="C838" s="10"/>
      <c r="D838" s="10"/>
      <c r="E838" s="10"/>
      <c r="F838" s="10">
        <f>IF(AND(D838&lt;&gt;"",E838&lt;&gt;""),((TIMEVALUE(E838)-TIMEVALUE(D838))*24*60),"")</f>
      </c>
      <c r="G838" s="10"/>
      <c r="H838" s="10"/>
      <c r="I838" s="10">
        <f>IF(G838="","Pending",IF(G838&gt;=J838,"Accepted",IF(G838&gt;=(J838-Configuration!$C$5),"Tolerance","Refusal")))</f>
      </c>
      <c r="J838" s="10">
        <f>IFERROR(VLOOKUP(B838,'Plot Plan'!$A:$D,4,FALSE),"")</f>
      </c>
      <c r="K838" s="10">
        <f>IFERROR(VLOOKUP(B838,'Plot Plan'!$A:$B,2,FALSE),"")</f>
      </c>
      <c r="L838" s="10">
        <f>IFERROR(VLOOKUP(B838,'Plot Plan'!$A:$C,3,FALSE),"")</f>
      </c>
    </row>
    <row r="839" spans="1:12" x14ac:dyDescent="0.25">
      <c r="A839" s="13"/>
      <c r="B839" s="11"/>
      <c r="C839" s="11"/>
      <c r="D839" s="11"/>
      <c r="E839" s="11"/>
      <c r="F839" s="11">
        <f>IF(AND(D839&lt;&gt;"",E839&lt;&gt;""),((TIMEVALUE(E839)-TIMEVALUE(D839))*24*60),"")</f>
      </c>
      <c r="G839" s="11"/>
      <c r="H839" s="11"/>
      <c r="I839" s="11">
        <f>IF(G839="","Pending",IF(G839&gt;=J839,"Accepted",IF(G839&gt;=(J839-Configuration!$C$5),"Tolerance","Refusal")))</f>
      </c>
      <c r="J839" s="11">
        <f>IFERROR(VLOOKUP(B839,'Plot Plan'!$A:$D,4,FALSE),"")</f>
      </c>
      <c r="K839" s="11">
        <f>IFERROR(VLOOKUP(B839,'Plot Plan'!$A:$B,2,FALSE),"")</f>
      </c>
      <c r="L839" s="11">
        <f>IFERROR(VLOOKUP(B839,'Plot Plan'!$A:$C,3,FALSE),"")</f>
      </c>
    </row>
    <row r="840" spans="1:12" s="8" customFormat="1" x14ac:dyDescent="0.25">
      <c r="A840" s="12"/>
      <c r="B840" s="10"/>
      <c r="C840" s="10"/>
      <c r="D840" s="10"/>
      <c r="E840" s="10"/>
      <c r="F840" s="10">
        <f>IF(AND(D840&lt;&gt;"",E840&lt;&gt;""),((TIMEVALUE(E840)-TIMEVALUE(D840))*24*60),"")</f>
      </c>
      <c r="G840" s="10"/>
      <c r="H840" s="10"/>
      <c r="I840" s="10">
        <f>IF(G840="","Pending",IF(G840&gt;=J840,"Accepted",IF(G840&gt;=(J840-Configuration!$C$5),"Tolerance","Refusal")))</f>
      </c>
      <c r="J840" s="10">
        <f>IFERROR(VLOOKUP(B840,'Plot Plan'!$A:$D,4,FALSE),"")</f>
      </c>
      <c r="K840" s="10">
        <f>IFERROR(VLOOKUP(B840,'Plot Plan'!$A:$B,2,FALSE),"")</f>
      </c>
      <c r="L840" s="10">
        <f>IFERROR(VLOOKUP(B840,'Plot Plan'!$A:$C,3,FALSE),"")</f>
      </c>
    </row>
    <row r="841" spans="1:12" x14ac:dyDescent="0.25">
      <c r="A841" s="13"/>
      <c r="B841" s="11"/>
      <c r="C841" s="11"/>
      <c r="D841" s="11"/>
      <c r="E841" s="11"/>
      <c r="F841" s="11">
        <f>IF(AND(D841&lt;&gt;"",E841&lt;&gt;""),((TIMEVALUE(E841)-TIMEVALUE(D841))*24*60),"")</f>
      </c>
      <c r="G841" s="11"/>
      <c r="H841" s="11"/>
      <c r="I841" s="11">
        <f>IF(G841="","Pending",IF(G841&gt;=J841,"Accepted",IF(G841&gt;=(J841-Configuration!$C$5),"Tolerance","Refusal")))</f>
      </c>
      <c r="J841" s="11">
        <f>IFERROR(VLOOKUP(B841,'Plot Plan'!$A:$D,4,FALSE),"")</f>
      </c>
      <c r="K841" s="11">
        <f>IFERROR(VLOOKUP(B841,'Plot Plan'!$A:$B,2,FALSE),"")</f>
      </c>
      <c r="L841" s="11">
        <f>IFERROR(VLOOKUP(B841,'Plot Plan'!$A:$C,3,FALSE),"")</f>
      </c>
    </row>
    <row r="842" spans="1:12" s="8" customFormat="1" x14ac:dyDescent="0.25">
      <c r="A842" s="12"/>
      <c r="B842" s="10"/>
      <c r="C842" s="10"/>
      <c r="D842" s="10"/>
      <c r="E842" s="10"/>
      <c r="F842" s="10">
        <f>IF(AND(D842&lt;&gt;"",E842&lt;&gt;""),((TIMEVALUE(E842)-TIMEVALUE(D842))*24*60),"")</f>
      </c>
      <c r="G842" s="10"/>
      <c r="H842" s="10"/>
      <c r="I842" s="10">
        <f>IF(G842="","Pending",IF(G842&gt;=J842,"Accepted",IF(G842&gt;=(J842-Configuration!$C$5),"Tolerance","Refusal")))</f>
      </c>
      <c r="J842" s="10">
        <f>IFERROR(VLOOKUP(B842,'Plot Plan'!$A:$D,4,FALSE),"")</f>
      </c>
      <c r="K842" s="10">
        <f>IFERROR(VLOOKUP(B842,'Plot Plan'!$A:$B,2,FALSE),"")</f>
      </c>
      <c r="L842" s="10">
        <f>IFERROR(VLOOKUP(B842,'Plot Plan'!$A:$C,3,FALSE),"")</f>
      </c>
    </row>
    <row r="843" spans="1:12" x14ac:dyDescent="0.25">
      <c r="A843" s="13"/>
      <c r="B843" s="11"/>
      <c r="C843" s="11"/>
      <c r="D843" s="11"/>
      <c r="E843" s="11"/>
      <c r="F843" s="11">
        <f>IF(AND(D843&lt;&gt;"",E843&lt;&gt;""),((TIMEVALUE(E843)-TIMEVALUE(D843))*24*60),"")</f>
      </c>
      <c r="G843" s="11"/>
      <c r="H843" s="11"/>
      <c r="I843" s="11">
        <f>IF(G843="","Pending",IF(G843&gt;=J843,"Accepted",IF(G843&gt;=(J843-Configuration!$C$5),"Tolerance","Refusal")))</f>
      </c>
      <c r="J843" s="11">
        <f>IFERROR(VLOOKUP(B843,'Plot Plan'!$A:$D,4,FALSE),"")</f>
      </c>
      <c r="K843" s="11">
        <f>IFERROR(VLOOKUP(B843,'Plot Plan'!$A:$B,2,FALSE),"")</f>
      </c>
      <c r="L843" s="11">
        <f>IFERROR(VLOOKUP(B843,'Plot Plan'!$A:$C,3,FALSE),"")</f>
      </c>
    </row>
    <row r="844" spans="1:12" s="8" customFormat="1" x14ac:dyDescent="0.25">
      <c r="A844" s="12"/>
      <c r="B844" s="10"/>
      <c r="C844" s="10"/>
      <c r="D844" s="10"/>
      <c r="E844" s="10"/>
      <c r="F844" s="10">
        <f>IF(AND(D844&lt;&gt;"",E844&lt;&gt;""),((TIMEVALUE(E844)-TIMEVALUE(D844))*24*60),"")</f>
      </c>
      <c r="G844" s="10"/>
      <c r="H844" s="10"/>
      <c r="I844" s="10">
        <f>IF(G844="","Pending",IF(G844&gt;=J844,"Accepted",IF(G844&gt;=(J844-Configuration!$C$5),"Tolerance","Refusal")))</f>
      </c>
      <c r="J844" s="10">
        <f>IFERROR(VLOOKUP(B844,'Plot Plan'!$A:$D,4,FALSE),"")</f>
      </c>
      <c r="K844" s="10">
        <f>IFERROR(VLOOKUP(B844,'Plot Plan'!$A:$B,2,FALSE),"")</f>
      </c>
      <c r="L844" s="10">
        <f>IFERROR(VLOOKUP(B844,'Plot Plan'!$A:$C,3,FALSE),"")</f>
      </c>
    </row>
    <row r="845" spans="1:12" x14ac:dyDescent="0.25">
      <c r="A845" s="13"/>
      <c r="B845" s="11"/>
      <c r="C845" s="11"/>
      <c r="D845" s="11"/>
      <c r="E845" s="11"/>
      <c r="F845" s="11">
        <f>IF(AND(D845&lt;&gt;"",E845&lt;&gt;""),((TIMEVALUE(E845)-TIMEVALUE(D845))*24*60),"")</f>
      </c>
      <c r="G845" s="11"/>
      <c r="H845" s="11"/>
      <c r="I845" s="11">
        <f>IF(G845="","Pending",IF(G845&gt;=J845,"Accepted",IF(G845&gt;=(J845-Configuration!$C$5),"Tolerance","Refusal")))</f>
      </c>
      <c r="J845" s="11">
        <f>IFERROR(VLOOKUP(B845,'Plot Plan'!$A:$D,4,FALSE),"")</f>
      </c>
      <c r="K845" s="11">
        <f>IFERROR(VLOOKUP(B845,'Plot Plan'!$A:$B,2,FALSE),"")</f>
      </c>
      <c r="L845" s="11">
        <f>IFERROR(VLOOKUP(B845,'Plot Plan'!$A:$C,3,FALSE),"")</f>
      </c>
    </row>
    <row r="846" spans="1:12" s="8" customFormat="1" x14ac:dyDescent="0.25">
      <c r="A846" s="12"/>
      <c r="B846" s="10"/>
      <c r="C846" s="10"/>
      <c r="D846" s="10"/>
      <c r="E846" s="10"/>
      <c r="F846" s="10">
        <f>IF(AND(D846&lt;&gt;"",E846&lt;&gt;""),((TIMEVALUE(E846)-TIMEVALUE(D846))*24*60),"")</f>
      </c>
      <c r="G846" s="10"/>
      <c r="H846" s="10"/>
      <c r="I846" s="10">
        <f>IF(G846="","Pending",IF(G846&gt;=J846,"Accepted",IF(G846&gt;=(J846-Configuration!$C$5),"Tolerance","Refusal")))</f>
      </c>
      <c r="J846" s="10">
        <f>IFERROR(VLOOKUP(B846,'Plot Plan'!$A:$D,4,FALSE),"")</f>
      </c>
      <c r="K846" s="10">
        <f>IFERROR(VLOOKUP(B846,'Plot Plan'!$A:$B,2,FALSE),"")</f>
      </c>
      <c r="L846" s="10">
        <f>IFERROR(VLOOKUP(B846,'Plot Plan'!$A:$C,3,FALSE),"")</f>
      </c>
    </row>
    <row r="847" spans="1:12" x14ac:dyDescent="0.25">
      <c r="A847" s="13"/>
      <c r="B847" s="11"/>
      <c r="C847" s="11"/>
      <c r="D847" s="11"/>
      <c r="E847" s="11"/>
      <c r="F847" s="11">
        <f>IF(AND(D847&lt;&gt;"",E847&lt;&gt;""),((TIMEVALUE(E847)-TIMEVALUE(D847))*24*60),"")</f>
      </c>
      <c r="G847" s="11"/>
      <c r="H847" s="11"/>
      <c r="I847" s="11">
        <f>IF(G847="","Pending",IF(G847&gt;=J847,"Accepted",IF(G847&gt;=(J847-Configuration!$C$5),"Tolerance","Refusal")))</f>
      </c>
      <c r="J847" s="11">
        <f>IFERROR(VLOOKUP(B847,'Plot Plan'!$A:$D,4,FALSE),"")</f>
      </c>
      <c r="K847" s="11">
        <f>IFERROR(VLOOKUP(B847,'Plot Plan'!$A:$B,2,FALSE),"")</f>
      </c>
      <c r="L847" s="11">
        <f>IFERROR(VLOOKUP(B847,'Plot Plan'!$A:$C,3,FALSE),"")</f>
      </c>
    </row>
    <row r="848" spans="1:12" s="8" customFormat="1" x14ac:dyDescent="0.25">
      <c r="A848" s="12"/>
      <c r="B848" s="10"/>
      <c r="C848" s="10"/>
      <c r="D848" s="10"/>
      <c r="E848" s="10"/>
      <c r="F848" s="10">
        <f>IF(AND(D848&lt;&gt;"",E848&lt;&gt;""),((TIMEVALUE(E848)-TIMEVALUE(D848))*24*60),"")</f>
      </c>
      <c r="G848" s="10"/>
      <c r="H848" s="10"/>
      <c r="I848" s="10">
        <f>IF(G848="","Pending",IF(G848&gt;=J848,"Accepted",IF(G848&gt;=(J848-Configuration!$C$5),"Tolerance","Refusal")))</f>
      </c>
      <c r="J848" s="10">
        <f>IFERROR(VLOOKUP(B848,'Plot Plan'!$A:$D,4,FALSE),"")</f>
      </c>
      <c r="K848" s="10">
        <f>IFERROR(VLOOKUP(B848,'Plot Plan'!$A:$B,2,FALSE),"")</f>
      </c>
      <c r="L848" s="10">
        <f>IFERROR(VLOOKUP(B848,'Plot Plan'!$A:$C,3,FALSE),"")</f>
      </c>
    </row>
    <row r="849" spans="1:12" x14ac:dyDescent="0.25">
      <c r="A849" s="13"/>
      <c r="B849" s="11"/>
      <c r="C849" s="11"/>
      <c r="D849" s="11"/>
      <c r="E849" s="11"/>
      <c r="F849" s="11">
        <f>IF(AND(D849&lt;&gt;"",E849&lt;&gt;""),((TIMEVALUE(E849)-TIMEVALUE(D849))*24*60),"")</f>
      </c>
      <c r="G849" s="11"/>
      <c r="H849" s="11"/>
      <c r="I849" s="11">
        <f>IF(G849="","Pending",IF(G849&gt;=J849,"Accepted",IF(G849&gt;=(J849-Configuration!$C$5),"Tolerance","Refusal")))</f>
      </c>
      <c r="J849" s="11">
        <f>IFERROR(VLOOKUP(B849,'Plot Plan'!$A:$D,4,FALSE),"")</f>
      </c>
      <c r="K849" s="11">
        <f>IFERROR(VLOOKUP(B849,'Plot Plan'!$A:$B,2,FALSE),"")</f>
      </c>
      <c r="L849" s="11">
        <f>IFERROR(VLOOKUP(B849,'Plot Plan'!$A:$C,3,FALSE),"")</f>
      </c>
    </row>
    <row r="850" spans="1:12" s="8" customFormat="1" x14ac:dyDescent="0.25">
      <c r="A850" s="12"/>
      <c r="B850" s="10"/>
      <c r="C850" s="10"/>
      <c r="D850" s="10"/>
      <c r="E850" s="10"/>
      <c r="F850" s="10">
        <f>IF(AND(D850&lt;&gt;"",E850&lt;&gt;""),((TIMEVALUE(E850)-TIMEVALUE(D850))*24*60),"")</f>
      </c>
      <c r="G850" s="10"/>
      <c r="H850" s="10"/>
      <c r="I850" s="10">
        <f>IF(G850="","Pending",IF(G850&gt;=J850,"Accepted",IF(G850&gt;=(J850-Configuration!$C$5),"Tolerance","Refusal")))</f>
      </c>
      <c r="J850" s="10">
        <f>IFERROR(VLOOKUP(B850,'Plot Plan'!$A:$D,4,FALSE),"")</f>
      </c>
      <c r="K850" s="10">
        <f>IFERROR(VLOOKUP(B850,'Plot Plan'!$A:$B,2,FALSE),"")</f>
      </c>
      <c r="L850" s="10">
        <f>IFERROR(VLOOKUP(B850,'Plot Plan'!$A:$C,3,FALSE),"")</f>
      </c>
    </row>
    <row r="851" spans="1:12" x14ac:dyDescent="0.25">
      <c r="A851" s="13"/>
      <c r="B851" s="11"/>
      <c r="C851" s="11"/>
      <c r="D851" s="11"/>
      <c r="E851" s="11"/>
      <c r="F851" s="11">
        <f>IF(AND(D851&lt;&gt;"",E851&lt;&gt;""),((TIMEVALUE(E851)-TIMEVALUE(D851))*24*60),"")</f>
      </c>
      <c r="G851" s="11"/>
      <c r="H851" s="11"/>
      <c r="I851" s="11">
        <f>IF(G851="","Pending",IF(G851&gt;=J851,"Accepted",IF(G851&gt;=(J851-Configuration!$C$5),"Tolerance","Refusal")))</f>
      </c>
      <c r="J851" s="11">
        <f>IFERROR(VLOOKUP(B851,'Plot Plan'!$A:$D,4,FALSE),"")</f>
      </c>
      <c r="K851" s="11">
        <f>IFERROR(VLOOKUP(B851,'Plot Plan'!$A:$B,2,FALSE),"")</f>
      </c>
      <c r="L851" s="11">
        <f>IFERROR(VLOOKUP(B851,'Plot Plan'!$A:$C,3,FALSE),"")</f>
      </c>
    </row>
    <row r="852" spans="1:12" s="8" customFormat="1" x14ac:dyDescent="0.25">
      <c r="A852" s="12"/>
      <c r="B852" s="10"/>
      <c r="C852" s="10"/>
      <c r="D852" s="10"/>
      <c r="E852" s="10"/>
      <c r="F852" s="10">
        <f>IF(AND(D852&lt;&gt;"",E852&lt;&gt;""),((TIMEVALUE(E852)-TIMEVALUE(D852))*24*60),"")</f>
      </c>
      <c r="G852" s="10"/>
      <c r="H852" s="10"/>
      <c r="I852" s="10">
        <f>IF(G852="","Pending",IF(G852&gt;=J852,"Accepted",IF(G852&gt;=(J852-Configuration!$C$5),"Tolerance","Refusal")))</f>
      </c>
      <c r="J852" s="10">
        <f>IFERROR(VLOOKUP(B852,'Plot Plan'!$A:$D,4,FALSE),"")</f>
      </c>
      <c r="K852" s="10">
        <f>IFERROR(VLOOKUP(B852,'Plot Plan'!$A:$B,2,FALSE),"")</f>
      </c>
      <c r="L852" s="10">
        <f>IFERROR(VLOOKUP(B852,'Plot Plan'!$A:$C,3,FALSE),"")</f>
      </c>
    </row>
    <row r="853" spans="1:12" x14ac:dyDescent="0.25">
      <c r="A853" s="13"/>
      <c r="B853" s="11"/>
      <c r="C853" s="11"/>
      <c r="D853" s="11"/>
      <c r="E853" s="11"/>
      <c r="F853" s="11">
        <f>IF(AND(D853&lt;&gt;"",E853&lt;&gt;""),((TIMEVALUE(E853)-TIMEVALUE(D853))*24*60),"")</f>
      </c>
      <c r="G853" s="11"/>
      <c r="H853" s="11"/>
      <c r="I853" s="11">
        <f>IF(G853="","Pending",IF(G853&gt;=J853,"Accepted",IF(G853&gt;=(J853-Configuration!$C$5),"Tolerance","Refusal")))</f>
      </c>
      <c r="J853" s="11">
        <f>IFERROR(VLOOKUP(B853,'Plot Plan'!$A:$D,4,FALSE),"")</f>
      </c>
      <c r="K853" s="11">
        <f>IFERROR(VLOOKUP(B853,'Plot Plan'!$A:$B,2,FALSE),"")</f>
      </c>
      <c r="L853" s="11">
        <f>IFERROR(VLOOKUP(B853,'Plot Plan'!$A:$C,3,FALSE),"")</f>
      </c>
    </row>
    <row r="854" spans="1:12" s="8" customFormat="1" x14ac:dyDescent="0.25">
      <c r="A854" s="12"/>
      <c r="B854" s="10"/>
      <c r="C854" s="10"/>
      <c r="D854" s="10"/>
      <c r="E854" s="10"/>
      <c r="F854" s="10">
        <f>IF(AND(D854&lt;&gt;"",E854&lt;&gt;""),((TIMEVALUE(E854)-TIMEVALUE(D854))*24*60),"")</f>
      </c>
      <c r="G854" s="10"/>
      <c r="H854" s="10"/>
      <c r="I854" s="10">
        <f>IF(G854="","Pending",IF(G854&gt;=J854,"Accepted",IF(G854&gt;=(J854-Configuration!$C$5),"Tolerance","Refusal")))</f>
      </c>
      <c r="J854" s="10">
        <f>IFERROR(VLOOKUP(B854,'Plot Plan'!$A:$D,4,FALSE),"")</f>
      </c>
      <c r="K854" s="10">
        <f>IFERROR(VLOOKUP(B854,'Plot Plan'!$A:$B,2,FALSE),"")</f>
      </c>
      <c r="L854" s="10">
        <f>IFERROR(VLOOKUP(B854,'Plot Plan'!$A:$C,3,FALSE),"")</f>
      </c>
    </row>
    <row r="855" spans="1:12" x14ac:dyDescent="0.25">
      <c r="A855" s="13"/>
      <c r="B855" s="11"/>
      <c r="C855" s="11"/>
      <c r="D855" s="11"/>
      <c r="E855" s="11"/>
      <c r="F855" s="11">
        <f>IF(AND(D855&lt;&gt;"",E855&lt;&gt;""),((TIMEVALUE(E855)-TIMEVALUE(D855))*24*60),"")</f>
      </c>
      <c r="G855" s="11"/>
      <c r="H855" s="11"/>
      <c r="I855" s="11">
        <f>IF(G855="","Pending",IF(G855&gt;=J855,"Accepted",IF(G855&gt;=(J855-Configuration!$C$5),"Tolerance","Refusal")))</f>
      </c>
      <c r="J855" s="11">
        <f>IFERROR(VLOOKUP(B855,'Plot Plan'!$A:$D,4,FALSE),"")</f>
      </c>
      <c r="K855" s="11">
        <f>IFERROR(VLOOKUP(B855,'Plot Plan'!$A:$B,2,FALSE),"")</f>
      </c>
      <c r="L855" s="11">
        <f>IFERROR(VLOOKUP(B855,'Plot Plan'!$A:$C,3,FALSE),"")</f>
      </c>
    </row>
    <row r="856" spans="1:12" s="8" customFormat="1" x14ac:dyDescent="0.25">
      <c r="A856" s="12"/>
      <c r="B856" s="10"/>
      <c r="C856" s="10"/>
      <c r="D856" s="10"/>
      <c r="E856" s="10"/>
      <c r="F856" s="10">
        <f>IF(AND(D856&lt;&gt;"",E856&lt;&gt;""),((TIMEVALUE(E856)-TIMEVALUE(D856))*24*60),"")</f>
      </c>
      <c r="G856" s="10"/>
      <c r="H856" s="10"/>
      <c r="I856" s="10">
        <f>IF(G856="","Pending",IF(G856&gt;=J856,"Accepted",IF(G856&gt;=(J856-Configuration!$C$5),"Tolerance","Refusal")))</f>
      </c>
      <c r="J856" s="10">
        <f>IFERROR(VLOOKUP(B856,'Plot Plan'!$A:$D,4,FALSE),"")</f>
      </c>
      <c r="K856" s="10">
        <f>IFERROR(VLOOKUP(B856,'Plot Plan'!$A:$B,2,FALSE),"")</f>
      </c>
      <c r="L856" s="10">
        <f>IFERROR(VLOOKUP(B856,'Plot Plan'!$A:$C,3,FALSE),"")</f>
      </c>
    </row>
    <row r="857" spans="1:12" x14ac:dyDescent="0.25">
      <c r="A857" s="13"/>
      <c r="B857" s="11"/>
      <c r="C857" s="11"/>
      <c r="D857" s="11"/>
      <c r="E857" s="11"/>
      <c r="F857" s="11">
        <f>IF(AND(D857&lt;&gt;"",E857&lt;&gt;""),((TIMEVALUE(E857)-TIMEVALUE(D857))*24*60),"")</f>
      </c>
      <c r="G857" s="11"/>
      <c r="H857" s="11"/>
      <c r="I857" s="11">
        <f>IF(G857="","Pending",IF(G857&gt;=J857,"Accepted",IF(G857&gt;=(J857-Configuration!$C$5),"Tolerance","Refusal")))</f>
      </c>
      <c r="J857" s="11">
        <f>IFERROR(VLOOKUP(B857,'Plot Plan'!$A:$D,4,FALSE),"")</f>
      </c>
      <c r="K857" s="11">
        <f>IFERROR(VLOOKUP(B857,'Plot Plan'!$A:$B,2,FALSE),"")</f>
      </c>
      <c r="L857" s="11">
        <f>IFERROR(VLOOKUP(B857,'Plot Plan'!$A:$C,3,FALSE),"")</f>
      </c>
    </row>
    <row r="858" spans="1:12" s="8" customFormat="1" x14ac:dyDescent="0.25">
      <c r="A858" s="12"/>
      <c r="B858" s="10"/>
      <c r="C858" s="10"/>
      <c r="D858" s="10"/>
      <c r="E858" s="10"/>
      <c r="F858" s="10">
        <f>IF(AND(D858&lt;&gt;"",E858&lt;&gt;""),((TIMEVALUE(E858)-TIMEVALUE(D858))*24*60),"")</f>
      </c>
      <c r="G858" s="10"/>
      <c r="H858" s="10"/>
      <c r="I858" s="10">
        <f>IF(G858="","Pending",IF(G858&gt;=J858,"Accepted",IF(G858&gt;=(J858-Configuration!$C$5),"Tolerance","Refusal")))</f>
      </c>
      <c r="J858" s="10">
        <f>IFERROR(VLOOKUP(B858,'Plot Plan'!$A:$D,4,FALSE),"")</f>
      </c>
      <c r="K858" s="10">
        <f>IFERROR(VLOOKUP(B858,'Plot Plan'!$A:$B,2,FALSE),"")</f>
      </c>
      <c r="L858" s="10">
        <f>IFERROR(VLOOKUP(B858,'Plot Plan'!$A:$C,3,FALSE),"")</f>
      </c>
    </row>
    <row r="859" spans="1:12" x14ac:dyDescent="0.25">
      <c r="A859" s="13"/>
      <c r="B859" s="11"/>
      <c r="C859" s="11"/>
      <c r="D859" s="11"/>
      <c r="E859" s="11"/>
      <c r="F859" s="11">
        <f>IF(AND(D859&lt;&gt;"",E859&lt;&gt;""),((TIMEVALUE(E859)-TIMEVALUE(D859))*24*60),"")</f>
      </c>
      <c r="G859" s="11"/>
      <c r="H859" s="11"/>
      <c r="I859" s="11">
        <f>IF(G859="","Pending",IF(G859&gt;=J859,"Accepted",IF(G859&gt;=(J859-Configuration!$C$5),"Tolerance","Refusal")))</f>
      </c>
      <c r="J859" s="11">
        <f>IFERROR(VLOOKUP(B859,'Plot Plan'!$A:$D,4,FALSE),"")</f>
      </c>
      <c r="K859" s="11">
        <f>IFERROR(VLOOKUP(B859,'Plot Plan'!$A:$B,2,FALSE),"")</f>
      </c>
      <c r="L859" s="11">
        <f>IFERROR(VLOOKUP(B859,'Plot Plan'!$A:$C,3,FALSE),"")</f>
      </c>
    </row>
    <row r="860" spans="1:12" s="8" customFormat="1" x14ac:dyDescent="0.25">
      <c r="A860" s="12"/>
      <c r="B860" s="10"/>
      <c r="C860" s="10"/>
      <c r="D860" s="10"/>
      <c r="E860" s="10"/>
      <c r="F860" s="10">
        <f>IF(AND(D860&lt;&gt;"",E860&lt;&gt;""),((TIMEVALUE(E860)-TIMEVALUE(D860))*24*60),"")</f>
      </c>
      <c r="G860" s="10"/>
      <c r="H860" s="10"/>
      <c r="I860" s="10">
        <f>IF(G860="","Pending",IF(G860&gt;=J860,"Accepted",IF(G860&gt;=(J860-Configuration!$C$5),"Tolerance","Refusal")))</f>
      </c>
      <c r="J860" s="10">
        <f>IFERROR(VLOOKUP(B860,'Plot Plan'!$A:$D,4,FALSE),"")</f>
      </c>
      <c r="K860" s="10">
        <f>IFERROR(VLOOKUP(B860,'Plot Plan'!$A:$B,2,FALSE),"")</f>
      </c>
      <c r="L860" s="10">
        <f>IFERROR(VLOOKUP(B860,'Plot Plan'!$A:$C,3,FALSE),"")</f>
      </c>
    </row>
    <row r="861" spans="1:12" x14ac:dyDescent="0.25">
      <c r="A861" s="13"/>
      <c r="B861" s="11"/>
      <c r="C861" s="11"/>
      <c r="D861" s="11"/>
      <c r="E861" s="11"/>
      <c r="F861" s="11">
        <f>IF(AND(D861&lt;&gt;"",E861&lt;&gt;""),((TIMEVALUE(E861)-TIMEVALUE(D861))*24*60),"")</f>
      </c>
      <c r="G861" s="11"/>
      <c r="H861" s="11"/>
      <c r="I861" s="11">
        <f>IF(G861="","Pending",IF(G861&gt;=J861,"Accepted",IF(G861&gt;=(J861-Configuration!$C$5),"Tolerance","Refusal")))</f>
      </c>
      <c r="J861" s="11">
        <f>IFERROR(VLOOKUP(B861,'Plot Plan'!$A:$D,4,FALSE),"")</f>
      </c>
      <c r="K861" s="11">
        <f>IFERROR(VLOOKUP(B861,'Plot Plan'!$A:$B,2,FALSE),"")</f>
      </c>
      <c r="L861" s="11">
        <f>IFERROR(VLOOKUP(B861,'Plot Plan'!$A:$C,3,FALSE),"")</f>
      </c>
    </row>
    <row r="862" spans="1:12" s="8" customFormat="1" x14ac:dyDescent="0.25">
      <c r="A862" s="12"/>
      <c r="B862" s="10"/>
      <c r="C862" s="10"/>
      <c r="D862" s="10"/>
      <c r="E862" s="10"/>
      <c r="F862" s="10">
        <f>IF(AND(D862&lt;&gt;"",E862&lt;&gt;""),((TIMEVALUE(E862)-TIMEVALUE(D862))*24*60),"")</f>
      </c>
      <c r="G862" s="10"/>
      <c r="H862" s="10"/>
      <c r="I862" s="10">
        <f>IF(G862="","Pending",IF(G862&gt;=J862,"Accepted",IF(G862&gt;=(J862-Configuration!$C$5),"Tolerance","Refusal")))</f>
      </c>
      <c r="J862" s="10">
        <f>IFERROR(VLOOKUP(B862,'Plot Plan'!$A:$D,4,FALSE),"")</f>
      </c>
      <c r="K862" s="10">
        <f>IFERROR(VLOOKUP(B862,'Plot Plan'!$A:$B,2,FALSE),"")</f>
      </c>
      <c r="L862" s="10">
        <f>IFERROR(VLOOKUP(B862,'Plot Plan'!$A:$C,3,FALSE),"")</f>
      </c>
    </row>
    <row r="863" spans="1:12" x14ac:dyDescent="0.25">
      <c r="A863" s="13"/>
      <c r="B863" s="11"/>
      <c r="C863" s="11"/>
      <c r="D863" s="11"/>
      <c r="E863" s="11"/>
      <c r="F863" s="11">
        <f>IF(AND(D863&lt;&gt;"",E863&lt;&gt;""),((TIMEVALUE(E863)-TIMEVALUE(D863))*24*60),"")</f>
      </c>
      <c r="G863" s="11"/>
      <c r="H863" s="11"/>
      <c r="I863" s="11">
        <f>IF(G863="","Pending",IF(G863&gt;=J863,"Accepted",IF(G863&gt;=(J863-Configuration!$C$5),"Tolerance","Refusal")))</f>
      </c>
      <c r="J863" s="11">
        <f>IFERROR(VLOOKUP(B863,'Plot Plan'!$A:$D,4,FALSE),"")</f>
      </c>
      <c r="K863" s="11">
        <f>IFERROR(VLOOKUP(B863,'Plot Plan'!$A:$B,2,FALSE),"")</f>
      </c>
      <c r="L863" s="11">
        <f>IFERROR(VLOOKUP(B863,'Plot Plan'!$A:$C,3,FALSE),"")</f>
      </c>
    </row>
    <row r="864" spans="1:12" s="8" customFormat="1" x14ac:dyDescent="0.25">
      <c r="A864" s="12"/>
      <c r="B864" s="10"/>
      <c r="C864" s="10"/>
      <c r="D864" s="10"/>
      <c r="E864" s="10"/>
      <c r="F864" s="10">
        <f>IF(AND(D864&lt;&gt;"",E864&lt;&gt;""),((TIMEVALUE(E864)-TIMEVALUE(D864))*24*60),"")</f>
      </c>
      <c r="G864" s="10"/>
      <c r="H864" s="10"/>
      <c r="I864" s="10">
        <f>IF(G864="","Pending",IF(G864&gt;=J864,"Accepted",IF(G864&gt;=(J864-Configuration!$C$5),"Tolerance","Refusal")))</f>
      </c>
      <c r="J864" s="10">
        <f>IFERROR(VLOOKUP(B864,'Plot Plan'!$A:$D,4,FALSE),"")</f>
      </c>
      <c r="K864" s="10">
        <f>IFERROR(VLOOKUP(B864,'Plot Plan'!$A:$B,2,FALSE),"")</f>
      </c>
      <c r="L864" s="10">
        <f>IFERROR(VLOOKUP(B864,'Plot Plan'!$A:$C,3,FALSE),"")</f>
      </c>
    </row>
    <row r="865" spans="1:12" x14ac:dyDescent="0.25">
      <c r="A865" s="13"/>
      <c r="B865" s="11"/>
      <c r="C865" s="11"/>
      <c r="D865" s="11"/>
      <c r="E865" s="11"/>
      <c r="F865" s="11">
        <f>IF(AND(D865&lt;&gt;"",E865&lt;&gt;""),((TIMEVALUE(E865)-TIMEVALUE(D865))*24*60),"")</f>
      </c>
      <c r="G865" s="11"/>
      <c r="H865" s="11"/>
      <c r="I865" s="11">
        <f>IF(G865="","Pending",IF(G865&gt;=J865,"Accepted",IF(G865&gt;=(J865-Configuration!$C$5),"Tolerance","Refusal")))</f>
      </c>
      <c r="J865" s="11">
        <f>IFERROR(VLOOKUP(B865,'Plot Plan'!$A:$D,4,FALSE),"")</f>
      </c>
      <c r="K865" s="11">
        <f>IFERROR(VLOOKUP(B865,'Plot Plan'!$A:$B,2,FALSE),"")</f>
      </c>
      <c r="L865" s="11">
        <f>IFERROR(VLOOKUP(B865,'Plot Plan'!$A:$C,3,FALSE),"")</f>
      </c>
    </row>
    <row r="866" spans="1:12" s="8" customFormat="1" x14ac:dyDescent="0.25">
      <c r="A866" s="12"/>
      <c r="B866" s="10"/>
      <c r="C866" s="10"/>
      <c r="D866" s="10"/>
      <c r="E866" s="10"/>
      <c r="F866" s="10">
        <f>IF(AND(D866&lt;&gt;"",E866&lt;&gt;""),((TIMEVALUE(E866)-TIMEVALUE(D866))*24*60),"")</f>
      </c>
      <c r="G866" s="10"/>
      <c r="H866" s="10"/>
      <c r="I866" s="10">
        <f>IF(G866="","Pending",IF(G866&gt;=J866,"Accepted",IF(G866&gt;=(J866-Configuration!$C$5),"Tolerance","Refusal")))</f>
      </c>
      <c r="J866" s="10">
        <f>IFERROR(VLOOKUP(B866,'Plot Plan'!$A:$D,4,FALSE),"")</f>
      </c>
      <c r="K866" s="10">
        <f>IFERROR(VLOOKUP(B866,'Plot Plan'!$A:$B,2,FALSE),"")</f>
      </c>
      <c r="L866" s="10">
        <f>IFERROR(VLOOKUP(B866,'Plot Plan'!$A:$C,3,FALSE),"")</f>
      </c>
    </row>
    <row r="867" spans="1:12" x14ac:dyDescent="0.25">
      <c r="A867" s="13"/>
      <c r="B867" s="11"/>
      <c r="C867" s="11"/>
      <c r="D867" s="11"/>
      <c r="E867" s="11"/>
      <c r="F867" s="11">
        <f>IF(AND(D867&lt;&gt;"",E867&lt;&gt;""),((TIMEVALUE(E867)-TIMEVALUE(D867))*24*60),"")</f>
      </c>
      <c r="G867" s="11"/>
      <c r="H867" s="11"/>
      <c r="I867" s="11">
        <f>IF(G867="","Pending",IF(G867&gt;=J867,"Accepted",IF(G867&gt;=(J867-Configuration!$C$5),"Tolerance","Refusal")))</f>
      </c>
      <c r="J867" s="11">
        <f>IFERROR(VLOOKUP(B867,'Plot Plan'!$A:$D,4,FALSE),"")</f>
      </c>
      <c r="K867" s="11">
        <f>IFERROR(VLOOKUP(B867,'Plot Plan'!$A:$B,2,FALSE),"")</f>
      </c>
      <c r="L867" s="11">
        <f>IFERROR(VLOOKUP(B867,'Plot Plan'!$A:$C,3,FALSE),"")</f>
      </c>
    </row>
    <row r="868" spans="1:12" s="8" customFormat="1" x14ac:dyDescent="0.25">
      <c r="A868" s="12"/>
      <c r="B868" s="10"/>
      <c r="C868" s="10"/>
      <c r="D868" s="10"/>
      <c r="E868" s="10"/>
      <c r="F868" s="10">
        <f>IF(AND(D868&lt;&gt;"",E868&lt;&gt;""),((TIMEVALUE(E868)-TIMEVALUE(D868))*24*60),"")</f>
      </c>
      <c r="G868" s="10"/>
      <c r="H868" s="10"/>
      <c r="I868" s="10">
        <f>IF(G868="","Pending",IF(G868&gt;=J868,"Accepted",IF(G868&gt;=(J868-Configuration!$C$5),"Tolerance","Refusal")))</f>
      </c>
      <c r="J868" s="10">
        <f>IFERROR(VLOOKUP(B868,'Plot Plan'!$A:$D,4,FALSE),"")</f>
      </c>
      <c r="K868" s="10">
        <f>IFERROR(VLOOKUP(B868,'Plot Plan'!$A:$B,2,FALSE),"")</f>
      </c>
      <c r="L868" s="10">
        <f>IFERROR(VLOOKUP(B868,'Plot Plan'!$A:$C,3,FALSE),"")</f>
      </c>
    </row>
    <row r="869" spans="1:12" x14ac:dyDescent="0.25">
      <c r="A869" s="13"/>
      <c r="B869" s="11"/>
      <c r="C869" s="11"/>
      <c r="D869" s="11"/>
      <c r="E869" s="11"/>
      <c r="F869" s="11">
        <f>IF(AND(D869&lt;&gt;"",E869&lt;&gt;""),((TIMEVALUE(E869)-TIMEVALUE(D869))*24*60),"")</f>
      </c>
      <c r="G869" s="11"/>
      <c r="H869" s="11"/>
      <c r="I869" s="11">
        <f>IF(G869="","Pending",IF(G869&gt;=J869,"Accepted",IF(G869&gt;=(J869-Configuration!$C$5),"Tolerance","Refusal")))</f>
      </c>
      <c r="J869" s="11">
        <f>IFERROR(VLOOKUP(B869,'Plot Plan'!$A:$D,4,FALSE),"")</f>
      </c>
      <c r="K869" s="11">
        <f>IFERROR(VLOOKUP(B869,'Plot Plan'!$A:$B,2,FALSE),"")</f>
      </c>
      <c r="L869" s="11">
        <f>IFERROR(VLOOKUP(B869,'Plot Plan'!$A:$C,3,FALSE),"")</f>
      </c>
    </row>
    <row r="870" spans="1:12" s="8" customFormat="1" x14ac:dyDescent="0.25">
      <c r="A870" s="12"/>
      <c r="B870" s="10"/>
      <c r="C870" s="10"/>
      <c r="D870" s="10"/>
      <c r="E870" s="10"/>
      <c r="F870" s="10">
        <f>IF(AND(D870&lt;&gt;"",E870&lt;&gt;""),((TIMEVALUE(E870)-TIMEVALUE(D870))*24*60),"")</f>
      </c>
      <c r="G870" s="10"/>
      <c r="H870" s="10"/>
      <c r="I870" s="10">
        <f>IF(G870="","Pending",IF(G870&gt;=J870,"Accepted",IF(G870&gt;=(J870-Configuration!$C$5),"Tolerance","Refusal")))</f>
      </c>
      <c r="J870" s="10">
        <f>IFERROR(VLOOKUP(B870,'Plot Plan'!$A:$D,4,FALSE),"")</f>
      </c>
      <c r="K870" s="10">
        <f>IFERROR(VLOOKUP(B870,'Plot Plan'!$A:$B,2,FALSE),"")</f>
      </c>
      <c r="L870" s="10">
        <f>IFERROR(VLOOKUP(B870,'Plot Plan'!$A:$C,3,FALSE),"")</f>
      </c>
    </row>
    <row r="871" spans="1:12" x14ac:dyDescent="0.25">
      <c r="A871" s="13"/>
      <c r="B871" s="11"/>
      <c r="C871" s="11"/>
      <c r="D871" s="11"/>
      <c r="E871" s="11"/>
      <c r="F871" s="11">
        <f>IF(AND(D871&lt;&gt;"",E871&lt;&gt;""),((TIMEVALUE(E871)-TIMEVALUE(D871))*24*60),"")</f>
      </c>
      <c r="G871" s="11"/>
      <c r="H871" s="11"/>
      <c r="I871" s="11">
        <f>IF(G871="","Pending",IF(G871&gt;=J871,"Accepted",IF(G871&gt;=(J871-Configuration!$C$5),"Tolerance","Refusal")))</f>
      </c>
      <c r="J871" s="11">
        <f>IFERROR(VLOOKUP(B871,'Plot Plan'!$A:$D,4,FALSE),"")</f>
      </c>
      <c r="K871" s="11">
        <f>IFERROR(VLOOKUP(B871,'Plot Plan'!$A:$B,2,FALSE),"")</f>
      </c>
      <c r="L871" s="11">
        <f>IFERROR(VLOOKUP(B871,'Plot Plan'!$A:$C,3,FALSE),"")</f>
      </c>
    </row>
    <row r="872" spans="1:12" s="8" customFormat="1" x14ac:dyDescent="0.25">
      <c r="A872" s="12"/>
      <c r="B872" s="10"/>
      <c r="C872" s="10"/>
      <c r="D872" s="10"/>
      <c r="E872" s="10"/>
      <c r="F872" s="10">
        <f>IF(AND(D872&lt;&gt;"",E872&lt;&gt;""),((TIMEVALUE(E872)-TIMEVALUE(D872))*24*60),"")</f>
      </c>
      <c r="G872" s="10"/>
      <c r="H872" s="10"/>
      <c r="I872" s="10">
        <f>IF(G872="","Pending",IF(G872&gt;=J872,"Accepted",IF(G872&gt;=(J872-Configuration!$C$5),"Tolerance","Refusal")))</f>
      </c>
      <c r="J872" s="10">
        <f>IFERROR(VLOOKUP(B872,'Plot Plan'!$A:$D,4,FALSE),"")</f>
      </c>
      <c r="K872" s="10">
        <f>IFERROR(VLOOKUP(B872,'Plot Plan'!$A:$B,2,FALSE),"")</f>
      </c>
      <c r="L872" s="10">
        <f>IFERROR(VLOOKUP(B872,'Plot Plan'!$A:$C,3,FALSE),"")</f>
      </c>
    </row>
    <row r="873" spans="1:12" x14ac:dyDescent="0.25">
      <c r="A873" s="13"/>
      <c r="B873" s="11"/>
      <c r="C873" s="11"/>
      <c r="D873" s="11"/>
      <c r="E873" s="11"/>
      <c r="F873" s="11">
        <f>IF(AND(D873&lt;&gt;"",E873&lt;&gt;""),((TIMEVALUE(E873)-TIMEVALUE(D873))*24*60),"")</f>
      </c>
      <c r="G873" s="11"/>
      <c r="H873" s="11"/>
      <c r="I873" s="11">
        <f>IF(G873="","Pending",IF(G873&gt;=J873,"Accepted",IF(G873&gt;=(J873-Configuration!$C$5),"Tolerance","Refusal")))</f>
      </c>
      <c r="J873" s="11">
        <f>IFERROR(VLOOKUP(B873,'Plot Plan'!$A:$D,4,FALSE),"")</f>
      </c>
      <c r="K873" s="11">
        <f>IFERROR(VLOOKUP(B873,'Plot Plan'!$A:$B,2,FALSE),"")</f>
      </c>
      <c r="L873" s="11">
        <f>IFERROR(VLOOKUP(B873,'Plot Plan'!$A:$C,3,FALSE),"")</f>
      </c>
    </row>
    <row r="874" spans="1:12" s="8" customFormat="1" x14ac:dyDescent="0.25">
      <c r="A874" s="12"/>
      <c r="B874" s="10"/>
      <c r="C874" s="10"/>
      <c r="D874" s="10"/>
      <c r="E874" s="10"/>
      <c r="F874" s="10">
        <f>IF(AND(D874&lt;&gt;"",E874&lt;&gt;""),((TIMEVALUE(E874)-TIMEVALUE(D874))*24*60),"")</f>
      </c>
      <c r="G874" s="10"/>
      <c r="H874" s="10"/>
      <c r="I874" s="10">
        <f>IF(G874="","Pending",IF(G874&gt;=J874,"Accepted",IF(G874&gt;=(J874-Configuration!$C$5),"Tolerance","Refusal")))</f>
      </c>
      <c r="J874" s="10">
        <f>IFERROR(VLOOKUP(B874,'Plot Plan'!$A:$D,4,FALSE),"")</f>
      </c>
      <c r="K874" s="10">
        <f>IFERROR(VLOOKUP(B874,'Plot Plan'!$A:$B,2,FALSE),"")</f>
      </c>
      <c r="L874" s="10">
        <f>IFERROR(VLOOKUP(B874,'Plot Plan'!$A:$C,3,FALSE),"")</f>
      </c>
    </row>
    <row r="875" spans="1:12" x14ac:dyDescent="0.25">
      <c r="A875" s="13"/>
      <c r="B875" s="11"/>
      <c r="C875" s="11"/>
      <c r="D875" s="11"/>
      <c r="E875" s="11"/>
      <c r="F875" s="11">
        <f>IF(AND(D875&lt;&gt;"",E875&lt;&gt;""),((TIMEVALUE(E875)-TIMEVALUE(D875))*24*60),"")</f>
      </c>
      <c r="G875" s="11"/>
      <c r="H875" s="11"/>
      <c r="I875" s="11">
        <f>IF(G875="","Pending",IF(G875&gt;=J875,"Accepted",IF(G875&gt;=(J875-Configuration!$C$5),"Tolerance","Refusal")))</f>
      </c>
      <c r="J875" s="11">
        <f>IFERROR(VLOOKUP(B875,'Plot Plan'!$A:$D,4,FALSE),"")</f>
      </c>
      <c r="K875" s="11">
        <f>IFERROR(VLOOKUP(B875,'Plot Plan'!$A:$B,2,FALSE),"")</f>
      </c>
      <c r="L875" s="11">
        <f>IFERROR(VLOOKUP(B875,'Plot Plan'!$A:$C,3,FALSE),"")</f>
      </c>
    </row>
    <row r="876" spans="1:12" s="8" customFormat="1" x14ac:dyDescent="0.25">
      <c r="A876" s="12"/>
      <c r="B876" s="10"/>
      <c r="C876" s="10"/>
      <c r="D876" s="10"/>
      <c r="E876" s="10"/>
      <c r="F876" s="10">
        <f>IF(AND(D876&lt;&gt;"",E876&lt;&gt;""),((TIMEVALUE(E876)-TIMEVALUE(D876))*24*60),"")</f>
      </c>
      <c r="G876" s="10"/>
      <c r="H876" s="10"/>
      <c r="I876" s="10">
        <f>IF(G876="","Pending",IF(G876&gt;=J876,"Accepted",IF(G876&gt;=(J876-Configuration!$C$5),"Tolerance","Refusal")))</f>
      </c>
      <c r="J876" s="10">
        <f>IFERROR(VLOOKUP(B876,'Plot Plan'!$A:$D,4,FALSE),"")</f>
      </c>
      <c r="K876" s="10">
        <f>IFERROR(VLOOKUP(B876,'Plot Plan'!$A:$B,2,FALSE),"")</f>
      </c>
      <c r="L876" s="10">
        <f>IFERROR(VLOOKUP(B876,'Plot Plan'!$A:$C,3,FALSE),"")</f>
      </c>
    </row>
    <row r="877" spans="1:12" x14ac:dyDescent="0.25">
      <c r="A877" s="13"/>
      <c r="B877" s="11"/>
      <c r="C877" s="11"/>
      <c r="D877" s="11"/>
      <c r="E877" s="11"/>
      <c r="F877" s="11">
        <f>IF(AND(D877&lt;&gt;"",E877&lt;&gt;""),((TIMEVALUE(E877)-TIMEVALUE(D877))*24*60),"")</f>
      </c>
      <c r="G877" s="11"/>
      <c r="H877" s="11"/>
      <c r="I877" s="11">
        <f>IF(G877="","Pending",IF(G877&gt;=J877,"Accepted",IF(G877&gt;=(J877-Configuration!$C$5),"Tolerance","Refusal")))</f>
      </c>
      <c r="J877" s="11">
        <f>IFERROR(VLOOKUP(B877,'Plot Plan'!$A:$D,4,FALSE),"")</f>
      </c>
      <c r="K877" s="11">
        <f>IFERROR(VLOOKUP(B877,'Plot Plan'!$A:$B,2,FALSE),"")</f>
      </c>
      <c r="L877" s="11">
        <f>IFERROR(VLOOKUP(B877,'Plot Plan'!$A:$C,3,FALSE),"")</f>
      </c>
    </row>
    <row r="878" spans="1:12" s="8" customFormat="1" x14ac:dyDescent="0.25">
      <c r="A878" s="12"/>
      <c r="B878" s="10"/>
      <c r="C878" s="10"/>
      <c r="D878" s="10"/>
      <c r="E878" s="10"/>
      <c r="F878" s="10">
        <f>IF(AND(D878&lt;&gt;"",E878&lt;&gt;""),((TIMEVALUE(E878)-TIMEVALUE(D878))*24*60),"")</f>
      </c>
      <c r="G878" s="10"/>
      <c r="H878" s="10"/>
      <c r="I878" s="10">
        <f>IF(G878="","Pending",IF(G878&gt;=J878,"Accepted",IF(G878&gt;=(J878-Configuration!$C$5),"Tolerance","Refusal")))</f>
      </c>
      <c r="J878" s="10">
        <f>IFERROR(VLOOKUP(B878,'Plot Plan'!$A:$D,4,FALSE),"")</f>
      </c>
      <c r="K878" s="10">
        <f>IFERROR(VLOOKUP(B878,'Plot Plan'!$A:$B,2,FALSE),"")</f>
      </c>
      <c r="L878" s="10">
        <f>IFERROR(VLOOKUP(B878,'Plot Plan'!$A:$C,3,FALSE),"")</f>
      </c>
    </row>
    <row r="879" spans="1:12" x14ac:dyDescent="0.25">
      <c r="A879" s="13"/>
      <c r="B879" s="11"/>
      <c r="C879" s="11"/>
      <c r="D879" s="11"/>
      <c r="E879" s="11"/>
      <c r="F879" s="11">
        <f>IF(AND(D879&lt;&gt;"",E879&lt;&gt;""),((TIMEVALUE(E879)-TIMEVALUE(D879))*24*60),"")</f>
      </c>
      <c r="G879" s="11"/>
      <c r="H879" s="11"/>
      <c r="I879" s="11">
        <f>IF(G879="","Pending",IF(G879&gt;=J879,"Accepted",IF(G879&gt;=(J879-Configuration!$C$5),"Tolerance","Refusal")))</f>
      </c>
      <c r="J879" s="11">
        <f>IFERROR(VLOOKUP(B879,'Plot Plan'!$A:$D,4,FALSE),"")</f>
      </c>
      <c r="K879" s="11">
        <f>IFERROR(VLOOKUP(B879,'Plot Plan'!$A:$B,2,FALSE),"")</f>
      </c>
      <c r="L879" s="11">
        <f>IFERROR(VLOOKUP(B879,'Plot Plan'!$A:$C,3,FALSE),"")</f>
      </c>
    </row>
    <row r="880" spans="1:12" s="8" customFormat="1" x14ac:dyDescent="0.25">
      <c r="A880" s="12"/>
      <c r="B880" s="10"/>
      <c r="C880" s="10"/>
      <c r="D880" s="10"/>
      <c r="E880" s="10"/>
      <c r="F880" s="10">
        <f>IF(AND(D880&lt;&gt;"",E880&lt;&gt;""),((TIMEVALUE(E880)-TIMEVALUE(D880))*24*60),"")</f>
      </c>
      <c r="G880" s="10"/>
      <c r="H880" s="10"/>
      <c r="I880" s="10">
        <f>IF(G880="","Pending",IF(G880&gt;=J880,"Accepted",IF(G880&gt;=(J880-Configuration!$C$5),"Tolerance","Refusal")))</f>
      </c>
      <c r="J880" s="10">
        <f>IFERROR(VLOOKUP(B880,'Plot Plan'!$A:$D,4,FALSE),"")</f>
      </c>
      <c r="K880" s="10">
        <f>IFERROR(VLOOKUP(B880,'Plot Plan'!$A:$B,2,FALSE),"")</f>
      </c>
      <c r="L880" s="10">
        <f>IFERROR(VLOOKUP(B880,'Plot Plan'!$A:$C,3,FALSE),"")</f>
      </c>
    </row>
    <row r="881" spans="1:12" x14ac:dyDescent="0.25">
      <c r="A881" s="13"/>
      <c r="B881" s="11"/>
      <c r="C881" s="11"/>
      <c r="D881" s="11"/>
      <c r="E881" s="11"/>
      <c r="F881" s="11">
        <f>IF(AND(D881&lt;&gt;"",E881&lt;&gt;""),((TIMEVALUE(E881)-TIMEVALUE(D881))*24*60),"")</f>
      </c>
      <c r="G881" s="11"/>
      <c r="H881" s="11"/>
      <c r="I881" s="11">
        <f>IF(G881="","Pending",IF(G881&gt;=J881,"Accepted",IF(G881&gt;=(J881-Configuration!$C$5),"Tolerance","Refusal")))</f>
      </c>
      <c r="J881" s="11">
        <f>IFERROR(VLOOKUP(B881,'Plot Plan'!$A:$D,4,FALSE),"")</f>
      </c>
      <c r="K881" s="11">
        <f>IFERROR(VLOOKUP(B881,'Plot Plan'!$A:$B,2,FALSE),"")</f>
      </c>
      <c r="L881" s="11">
        <f>IFERROR(VLOOKUP(B881,'Plot Plan'!$A:$C,3,FALSE),"")</f>
      </c>
    </row>
    <row r="882" spans="1:12" s="8" customFormat="1" x14ac:dyDescent="0.25">
      <c r="A882" s="12"/>
      <c r="B882" s="10"/>
      <c r="C882" s="10"/>
      <c r="D882" s="10"/>
      <c r="E882" s="10"/>
      <c r="F882" s="10">
        <f>IF(AND(D882&lt;&gt;"",E882&lt;&gt;""),((TIMEVALUE(E882)-TIMEVALUE(D882))*24*60),"")</f>
      </c>
      <c r="G882" s="10"/>
      <c r="H882" s="10"/>
      <c r="I882" s="10">
        <f>IF(G882="","Pending",IF(G882&gt;=J882,"Accepted",IF(G882&gt;=(J882-Configuration!$C$5),"Tolerance","Refusal")))</f>
      </c>
      <c r="J882" s="10">
        <f>IFERROR(VLOOKUP(B882,'Plot Plan'!$A:$D,4,FALSE),"")</f>
      </c>
      <c r="K882" s="10">
        <f>IFERROR(VLOOKUP(B882,'Plot Plan'!$A:$B,2,FALSE),"")</f>
      </c>
      <c r="L882" s="10">
        <f>IFERROR(VLOOKUP(B882,'Plot Plan'!$A:$C,3,FALSE),"")</f>
      </c>
    </row>
    <row r="883" spans="1:12" x14ac:dyDescent="0.25">
      <c r="A883" s="13"/>
      <c r="B883" s="11"/>
      <c r="C883" s="11"/>
      <c r="D883" s="11"/>
      <c r="E883" s="11"/>
      <c r="F883" s="11">
        <f>IF(AND(D883&lt;&gt;"",E883&lt;&gt;""),((TIMEVALUE(E883)-TIMEVALUE(D883))*24*60),"")</f>
      </c>
      <c r="G883" s="11"/>
      <c r="H883" s="11"/>
      <c r="I883" s="11">
        <f>IF(G883="","Pending",IF(G883&gt;=J883,"Accepted",IF(G883&gt;=(J883-Configuration!$C$5),"Tolerance","Refusal")))</f>
      </c>
      <c r="J883" s="11">
        <f>IFERROR(VLOOKUP(B883,'Plot Plan'!$A:$D,4,FALSE),"")</f>
      </c>
      <c r="K883" s="11">
        <f>IFERROR(VLOOKUP(B883,'Plot Plan'!$A:$B,2,FALSE),"")</f>
      </c>
      <c r="L883" s="11">
        <f>IFERROR(VLOOKUP(B883,'Plot Plan'!$A:$C,3,FALSE),"")</f>
      </c>
    </row>
    <row r="884" spans="1:12" s="8" customFormat="1" x14ac:dyDescent="0.25">
      <c r="A884" s="12"/>
      <c r="B884" s="10"/>
      <c r="C884" s="10"/>
      <c r="D884" s="10"/>
      <c r="E884" s="10"/>
      <c r="F884" s="10">
        <f>IF(AND(D884&lt;&gt;"",E884&lt;&gt;""),((TIMEVALUE(E884)-TIMEVALUE(D884))*24*60),"")</f>
      </c>
      <c r="G884" s="10"/>
      <c r="H884" s="10"/>
      <c r="I884" s="10">
        <f>IF(G884="","Pending",IF(G884&gt;=J884,"Accepted",IF(G884&gt;=(J884-Configuration!$C$5),"Tolerance","Refusal")))</f>
      </c>
      <c r="J884" s="10">
        <f>IFERROR(VLOOKUP(B884,'Plot Plan'!$A:$D,4,FALSE),"")</f>
      </c>
      <c r="K884" s="10">
        <f>IFERROR(VLOOKUP(B884,'Plot Plan'!$A:$B,2,FALSE),"")</f>
      </c>
      <c r="L884" s="10">
        <f>IFERROR(VLOOKUP(B884,'Plot Plan'!$A:$C,3,FALSE),"")</f>
      </c>
    </row>
    <row r="885" spans="1:12" x14ac:dyDescent="0.25">
      <c r="A885" s="13"/>
      <c r="B885" s="11"/>
      <c r="C885" s="11"/>
      <c r="D885" s="11"/>
      <c r="E885" s="11"/>
      <c r="F885" s="11">
        <f>IF(AND(D885&lt;&gt;"",E885&lt;&gt;""),((TIMEVALUE(E885)-TIMEVALUE(D885))*24*60),"")</f>
      </c>
      <c r="G885" s="11"/>
      <c r="H885" s="11"/>
      <c r="I885" s="11">
        <f>IF(G885="","Pending",IF(G885&gt;=J885,"Accepted",IF(G885&gt;=(J885-Configuration!$C$5),"Tolerance","Refusal")))</f>
      </c>
      <c r="J885" s="11">
        <f>IFERROR(VLOOKUP(B885,'Plot Plan'!$A:$D,4,FALSE),"")</f>
      </c>
      <c r="K885" s="11">
        <f>IFERROR(VLOOKUP(B885,'Plot Plan'!$A:$B,2,FALSE),"")</f>
      </c>
      <c r="L885" s="11">
        <f>IFERROR(VLOOKUP(B885,'Plot Plan'!$A:$C,3,FALSE),"")</f>
      </c>
    </row>
    <row r="886" spans="1:12" s="8" customFormat="1" x14ac:dyDescent="0.25">
      <c r="A886" s="12"/>
      <c r="B886" s="10"/>
      <c r="C886" s="10"/>
      <c r="D886" s="10"/>
      <c r="E886" s="10"/>
      <c r="F886" s="10">
        <f>IF(AND(D886&lt;&gt;"",E886&lt;&gt;""),((TIMEVALUE(E886)-TIMEVALUE(D886))*24*60),"")</f>
      </c>
      <c r="G886" s="10"/>
      <c r="H886" s="10"/>
      <c r="I886" s="10">
        <f>IF(G886="","Pending",IF(G886&gt;=J886,"Accepted",IF(G886&gt;=(J886-Configuration!$C$5),"Tolerance","Refusal")))</f>
      </c>
      <c r="J886" s="10">
        <f>IFERROR(VLOOKUP(B886,'Plot Plan'!$A:$D,4,FALSE),"")</f>
      </c>
      <c r="K886" s="10">
        <f>IFERROR(VLOOKUP(B886,'Plot Plan'!$A:$B,2,FALSE),"")</f>
      </c>
      <c r="L886" s="10">
        <f>IFERROR(VLOOKUP(B886,'Plot Plan'!$A:$C,3,FALSE),"")</f>
      </c>
    </row>
    <row r="887" spans="1:12" x14ac:dyDescent="0.25">
      <c r="A887" s="13"/>
      <c r="B887" s="11"/>
      <c r="C887" s="11"/>
      <c r="D887" s="11"/>
      <c r="E887" s="11"/>
      <c r="F887" s="11">
        <f>IF(AND(D887&lt;&gt;"",E887&lt;&gt;""),((TIMEVALUE(E887)-TIMEVALUE(D887))*24*60),"")</f>
      </c>
      <c r="G887" s="11"/>
      <c r="H887" s="11"/>
      <c r="I887" s="11">
        <f>IF(G887="","Pending",IF(G887&gt;=J887,"Accepted",IF(G887&gt;=(J887-Configuration!$C$5),"Tolerance","Refusal")))</f>
      </c>
      <c r="J887" s="11">
        <f>IFERROR(VLOOKUP(B887,'Plot Plan'!$A:$D,4,FALSE),"")</f>
      </c>
      <c r="K887" s="11">
        <f>IFERROR(VLOOKUP(B887,'Plot Plan'!$A:$B,2,FALSE),"")</f>
      </c>
      <c r="L887" s="11">
        <f>IFERROR(VLOOKUP(B887,'Plot Plan'!$A:$C,3,FALSE),"")</f>
      </c>
    </row>
    <row r="888" spans="1:12" s="8" customFormat="1" x14ac:dyDescent="0.25">
      <c r="A888" s="12"/>
      <c r="B888" s="10"/>
      <c r="C888" s="10"/>
      <c r="D888" s="10"/>
      <c r="E888" s="10"/>
      <c r="F888" s="10">
        <f>IF(AND(D888&lt;&gt;"",E888&lt;&gt;""),((TIMEVALUE(E888)-TIMEVALUE(D888))*24*60),"")</f>
      </c>
      <c r="G888" s="10"/>
      <c r="H888" s="10"/>
      <c r="I888" s="10">
        <f>IF(G888="","Pending",IF(G888&gt;=J888,"Accepted",IF(G888&gt;=(J888-Configuration!$C$5),"Tolerance","Refusal")))</f>
      </c>
      <c r="J888" s="10">
        <f>IFERROR(VLOOKUP(B888,'Plot Plan'!$A:$D,4,FALSE),"")</f>
      </c>
      <c r="K888" s="10">
        <f>IFERROR(VLOOKUP(B888,'Plot Plan'!$A:$B,2,FALSE),"")</f>
      </c>
      <c r="L888" s="10">
        <f>IFERROR(VLOOKUP(B888,'Plot Plan'!$A:$C,3,FALSE),"")</f>
      </c>
    </row>
    <row r="889" spans="1:12" x14ac:dyDescent="0.25">
      <c r="A889" s="13"/>
      <c r="B889" s="11"/>
      <c r="C889" s="11"/>
      <c r="D889" s="11"/>
      <c r="E889" s="11"/>
      <c r="F889" s="11">
        <f>IF(AND(D889&lt;&gt;"",E889&lt;&gt;""),((TIMEVALUE(E889)-TIMEVALUE(D889))*24*60),"")</f>
      </c>
      <c r="G889" s="11"/>
      <c r="H889" s="11"/>
      <c r="I889" s="11">
        <f>IF(G889="","Pending",IF(G889&gt;=J889,"Accepted",IF(G889&gt;=(J889-Configuration!$C$5),"Tolerance","Refusal")))</f>
      </c>
      <c r="J889" s="11">
        <f>IFERROR(VLOOKUP(B889,'Plot Plan'!$A:$D,4,FALSE),"")</f>
      </c>
      <c r="K889" s="11">
        <f>IFERROR(VLOOKUP(B889,'Plot Plan'!$A:$B,2,FALSE),"")</f>
      </c>
      <c r="L889" s="11">
        <f>IFERROR(VLOOKUP(B889,'Plot Plan'!$A:$C,3,FALSE),"")</f>
      </c>
    </row>
    <row r="890" spans="1:12" s="8" customFormat="1" x14ac:dyDescent="0.25">
      <c r="A890" s="12"/>
      <c r="B890" s="10"/>
      <c r="C890" s="10"/>
      <c r="D890" s="10"/>
      <c r="E890" s="10"/>
      <c r="F890" s="10">
        <f>IF(AND(D890&lt;&gt;"",E890&lt;&gt;""),((TIMEVALUE(E890)-TIMEVALUE(D890))*24*60),"")</f>
      </c>
      <c r="G890" s="10"/>
      <c r="H890" s="10"/>
      <c r="I890" s="10">
        <f>IF(G890="","Pending",IF(G890&gt;=J890,"Accepted",IF(G890&gt;=(J890-Configuration!$C$5),"Tolerance","Refusal")))</f>
      </c>
      <c r="J890" s="10">
        <f>IFERROR(VLOOKUP(B890,'Plot Plan'!$A:$D,4,FALSE),"")</f>
      </c>
      <c r="K890" s="10">
        <f>IFERROR(VLOOKUP(B890,'Plot Plan'!$A:$B,2,FALSE),"")</f>
      </c>
      <c r="L890" s="10">
        <f>IFERROR(VLOOKUP(B890,'Plot Plan'!$A:$C,3,FALSE),"")</f>
      </c>
    </row>
    <row r="891" spans="1:12" x14ac:dyDescent="0.25">
      <c r="A891" s="13"/>
      <c r="B891" s="11"/>
      <c r="C891" s="11"/>
      <c r="D891" s="11"/>
      <c r="E891" s="11"/>
      <c r="F891" s="11">
        <f>IF(AND(D891&lt;&gt;"",E891&lt;&gt;""),((TIMEVALUE(E891)-TIMEVALUE(D891))*24*60),"")</f>
      </c>
      <c r="G891" s="11"/>
      <c r="H891" s="11"/>
      <c r="I891" s="11">
        <f>IF(G891="","Pending",IF(G891&gt;=J891,"Accepted",IF(G891&gt;=(J891-Configuration!$C$5),"Tolerance","Refusal")))</f>
      </c>
      <c r="J891" s="11">
        <f>IFERROR(VLOOKUP(B891,'Plot Plan'!$A:$D,4,FALSE),"")</f>
      </c>
      <c r="K891" s="11">
        <f>IFERROR(VLOOKUP(B891,'Plot Plan'!$A:$B,2,FALSE),"")</f>
      </c>
      <c r="L891" s="11">
        <f>IFERROR(VLOOKUP(B891,'Plot Plan'!$A:$C,3,FALSE),"")</f>
      </c>
    </row>
    <row r="892" spans="1:12" s="8" customFormat="1" x14ac:dyDescent="0.25">
      <c r="A892" s="12"/>
      <c r="B892" s="10"/>
      <c r="C892" s="10"/>
      <c r="D892" s="10"/>
      <c r="E892" s="10"/>
      <c r="F892" s="10">
        <f>IF(AND(D892&lt;&gt;"",E892&lt;&gt;""),((TIMEVALUE(E892)-TIMEVALUE(D892))*24*60),"")</f>
      </c>
      <c r="G892" s="10"/>
      <c r="H892" s="10"/>
      <c r="I892" s="10">
        <f>IF(G892="","Pending",IF(G892&gt;=J892,"Accepted",IF(G892&gt;=(J892-Configuration!$C$5),"Tolerance","Refusal")))</f>
      </c>
      <c r="J892" s="10">
        <f>IFERROR(VLOOKUP(B892,'Plot Plan'!$A:$D,4,FALSE),"")</f>
      </c>
      <c r="K892" s="10">
        <f>IFERROR(VLOOKUP(B892,'Plot Plan'!$A:$B,2,FALSE),"")</f>
      </c>
      <c r="L892" s="10">
        <f>IFERROR(VLOOKUP(B892,'Plot Plan'!$A:$C,3,FALSE),"")</f>
      </c>
    </row>
    <row r="893" spans="1:12" x14ac:dyDescent="0.25">
      <c r="A893" s="13"/>
      <c r="B893" s="11"/>
      <c r="C893" s="11"/>
      <c r="D893" s="11"/>
      <c r="E893" s="11"/>
      <c r="F893" s="11">
        <f>IF(AND(D893&lt;&gt;"",E893&lt;&gt;""),((TIMEVALUE(E893)-TIMEVALUE(D893))*24*60),"")</f>
      </c>
      <c r="G893" s="11"/>
      <c r="H893" s="11"/>
      <c r="I893" s="11">
        <f>IF(G893="","Pending",IF(G893&gt;=J893,"Accepted",IF(G893&gt;=(J893-Configuration!$C$5),"Tolerance","Refusal")))</f>
      </c>
      <c r="J893" s="11">
        <f>IFERROR(VLOOKUP(B893,'Plot Plan'!$A:$D,4,FALSE),"")</f>
      </c>
      <c r="K893" s="11">
        <f>IFERROR(VLOOKUP(B893,'Plot Plan'!$A:$B,2,FALSE),"")</f>
      </c>
      <c r="L893" s="11">
        <f>IFERROR(VLOOKUP(B893,'Plot Plan'!$A:$C,3,FALSE),"")</f>
      </c>
    </row>
    <row r="894" spans="1:12" s="8" customFormat="1" x14ac:dyDescent="0.25">
      <c r="A894" s="12"/>
      <c r="B894" s="10"/>
      <c r="C894" s="10"/>
      <c r="D894" s="10"/>
      <c r="E894" s="10"/>
      <c r="F894" s="10">
        <f>IF(AND(D894&lt;&gt;"",E894&lt;&gt;""),((TIMEVALUE(E894)-TIMEVALUE(D894))*24*60),"")</f>
      </c>
      <c r="G894" s="10"/>
      <c r="H894" s="10"/>
      <c r="I894" s="10">
        <f>IF(G894="","Pending",IF(G894&gt;=J894,"Accepted",IF(G894&gt;=(J894-Configuration!$C$5),"Tolerance","Refusal")))</f>
      </c>
      <c r="J894" s="10">
        <f>IFERROR(VLOOKUP(B894,'Plot Plan'!$A:$D,4,FALSE),"")</f>
      </c>
      <c r="K894" s="10">
        <f>IFERROR(VLOOKUP(B894,'Plot Plan'!$A:$B,2,FALSE),"")</f>
      </c>
      <c r="L894" s="10">
        <f>IFERROR(VLOOKUP(B894,'Plot Plan'!$A:$C,3,FALSE),"")</f>
      </c>
    </row>
    <row r="895" spans="1:12" x14ac:dyDescent="0.25">
      <c r="A895" s="13"/>
      <c r="B895" s="11"/>
      <c r="C895" s="11"/>
      <c r="D895" s="11"/>
      <c r="E895" s="11"/>
      <c r="F895" s="11">
        <f>IF(AND(D895&lt;&gt;"",E895&lt;&gt;""),((TIMEVALUE(E895)-TIMEVALUE(D895))*24*60),"")</f>
      </c>
      <c r="G895" s="11"/>
      <c r="H895" s="11"/>
      <c r="I895" s="11">
        <f>IF(G895="","Pending",IF(G895&gt;=J895,"Accepted",IF(G895&gt;=(J895-Configuration!$C$5),"Tolerance","Refusal")))</f>
      </c>
      <c r="J895" s="11">
        <f>IFERROR(VLOOKUP(B895,'Plot Plan'!$A:$D,4,FALSE),"")</f>
      </c>
      <c r="K895" s="11">
        <f>IFERROR(VLOOKUP(B895,'Plot Plan'!$A:$B,2,FALSE),"")</f>
      </c>
      <c r="L895" s="11">
        <f>IFERROR(VLOOKUP(B895,'Plot Plan'!$A:$C,3,FALSE),"")</f>
      </c>
    </row>
    <row r="896" spans="1:12" s="8" customFormat="1" x14ac:dyDescent="0.25">
      <c r="A896" s="12"/>
      <c r="B896" s="10"/>
      <c r="C896" s="10"/>
      <c r="D896" s="10"/>
      <c r="E896" s="10"/>
      <c r="F896" s="10">
        <f>IF(AND(D896&lt;&gt;"",E896&lt;&gt;""),((TIMEVALUE(E896)-TIMEVALUE(D896))*24*60),"")</f>
      </c>
      <c r="G896" s="10"/>
      <c r="H896" s="10"/>
      <c r="I896" s="10">
        <f>IF(G896="","Pending",IF(G896&gt;=J896,"Accepted",IF(G896&gt;=(J896-Configuration!$C$5),"Tolerance","Refusal")))</f>
      </c>
      <c r="J896" s="10">
        <f>IFERROR(VLOOKUP(B896,'Plot Plan'!$A:$D,4,FALSE),"")</f>
      </c>
      <c r="K896" s="10">
        <f>IFERROR(VLOOKUP(B896,'Plot Plan'!$A:$B,2,FALSE),"")</f>
      </c>
      <c r="L896" s="10">
        <f>IFERROR(VLOOKUP(B896,'Plot Plan'!$A:$C,3,FALSE),"")</f>
      </c>
    </row>
    <row r="897" spans="1:12" x14ac:dyDescent="0.25">
      <c r="A897" s="13"/>
      <c r="B897" s="11"/>
      <c r="C897" s="11"/>
      <c r="D897" s="11"/>
      <c r="E897" s="11"/>
      <c r="F897" s="11">
        <f>IF(AND(D897&lt;&gt;"",E897&lt;&gt;""),((TIMEVALUE(E897)-TIMEVALUE(D897))*24*60),"")</f>
      </c>
      <c r="G897" s="11"/>
      <c r="H897" s="11"/>
      <c r="I897" s="11">
        <f>IF(G897="","Pending",IF(G897&gt;=J897,"Accepted",IF(G897&gt;=(J897-Configuration!$C$5),"Tolerance","Refusal")))</f>
      </c>
      <c r="J897" s="11">
        <f>IFERROR(VLOOKUP(B897,'Plot Plan'!$A:$D,4,FALSE),"")</f>
      </c>
      <c r="K897" s="11">
        <f>IFERROR(VLOOKUP(B897,'Plot Plan'!$A:$B,2,FALSE),"")</f>
      </c>
      <c r="L897" s="11">
        <f>IFERROR(VLOOKUP(B897,'Plot Plan'!$A:$C,3,FALSE),"")</f>
      </c>
    </row>
    <row r="898" spans="1:12" s="8" customFormat="1" x14ac:dyDescent="0.25">
      <c r="A898" s="12"/>
      <c r="B898" s="10"/>
      <c r="C898" s="10"/>
      <c r="D898" s="10"/>
      <c r="E898" s="10"/>
      <c r="F898" s="10">
        <f>IF(AND(D898&lt;&gt;"",E898&lt;&gt;""),((TIMEVALUE(E898)-TIMEVALUE(D898))*24*60),"")</f>
      </c>
      <c r="G898" s="10"/>
      <c r="H898" s="10"/>
      <c r="I898" s="10">
        <f>IF(G898="","Pending",IF(G898&gt;=J898,"Accepted",IF(G898&gt;=(J898-Configuration!$C$5),"Tolerance","Refusal")))</f>
      </c>
      <c r="J898" s="10">
        <f>IFERROR(VLOOKUP(B898,'Plot Plan'!$A:$D,4,FALSE),"")</f>
      </c>
      <c r="K898" s="10">
        <f>IFERROR(VLOOKUP(B898,'Plot Plan'!$A:$B,2,FALSE),"")</f>
      </c>
      <c r="L898" s="10">
        <f>IFERROR(VLOOKUP(B898,'Plot Plan'!$A:$C,3,FALSE),"")</f>
      </c>
    </row>
    <row r="899" spans="1:12" x14ac:dyDescent="0.25">
      <c r="A899" s="13"/>
      <c r="B899" s="11"/>
      <c r="C899" s="11"/>
      <c r="D899" s="11"/>
      <c r="E899" s="11"/>
      <c r="F899" s="11">
        <f>IF(AND(D899&lt;&gt;"",E899&lt;&gt;""),((TIMEVALUE(E899)-TIMEVALUE(D899))*24*60),"")</f>
      </c>
      <c r="G899" s="11"/>
      <c r="H899" s="11"/>
      <c r="I899" s="11">
        <f>IF(G899="","Pending",IF(G899&gt;=J899,"Accepted",IF(G899&gt;=(J899-Configuration!$C$5),"Tolerance","Refusal")))</f>
      </c>
      <c r="J899" s="11">
        <f>IFERROR(VLOOKUP(B899,'Plot Plan'!$A:$D,4,FALSE),"")</f>
      </c>
      <c r="K899" s="11">
        <f>IFERROR(VLOOKUP(B899,'Plot Plan'!$A:$B,2,FALSE),"")</f>
      </c>
      <c r="L899" s="11">
        <f>IFERROR(VLOOKUP(B899,'Plot Plan'!$A:$C,3,FALSE),"")</f>
      </c>
    </row>
    <row r="900" spans="1:12" s="8" customFormat="1" x14ac:dyDescent="0.25">
      <c r="A900" s="12"/>
      <c r="B900" s="10"/>
      <c r="C900" s="10"/>
      <c r="D900" s="10"/>
      <c r="E900" s="10"/>
      <c r="F900" s="10">
        <f>IF(AND(D900&lt;&gt;"",E900&lt;&gt;""),((TIMEVALUE(E900)-TIMEVALUE(D900))*24*60),"")</f>
      </c>
      <c r="G900" s="10"/>
      <c r="H900" s="10"/>
      <c r="I900" s="10">
        <f>IF(G900="","Pending",IF(G900&gt;=J900,"Accepted",IF(G900&gt;=(J900-Configuration!$C$5),"Tolerance","Refusal")))</f>
      </c>
      <c r="J900" s="10">
        <f>IFERROR(VLOOKUP(B900,'Plot Plan'!$A:$D,4,FALSE),"")</f>
      </c>
      <c r="K900" s="10">
        <f>IFERROR(VLOOKUP(B900,'Plot Plan'!$A:$B,2,FALSE),"")</f>
      </c>
      <c r="L900" s="10">
        <f>IFERROR(VLOOKUP(B900,'Plot Plan'!$A:$C,3,FALSE),"")</f>
      </c>
    </row>
    <row r="901" spans="1:12" x14ac:dyDescent="0.25">
      <c r="A901" s="13"/>
      <c r="B901" s="11"/>
      <c r="C901" s="11"/>
      <c r="D901" s="11"/>
      <c r="E901" s="11"/>
      <c r="F901" s="11">
        <f>IF(AND(D901&lt;&gt;"",E901&lt;&gt;""),((TIMEVALUE(E901)-TIMEVALUE(D901))*24*60),"")</f>
      </c>
      <c r="G901" s="11"/>
      <c r="H901" s="11"/>
      <c r="I901" s="11">
        <f>IF(G901="","Pending",IF(G901&gt;=J901,"Accepted",IF(G901&gt;=(J901-Configuration!$C$5),"Tolerance","Refusal")))</f>
      </c>
      <c r="J901" s="11">
        <f>IFERROR(VLOOKUP(B901,'Plot Plan'!$A:$D,4,FALSE),"")</f>
      </c>
      <c r="K901" s="11">
        <f>IFERROR(VLOOKUP(B901,'Plot Plan'!$A:$B,2,FALSE),"")</f>
      </c>
      <c r="L901" s="11">
        <f>IFERROR(VLOOKUP(B901,'Plot Plan'!$A:$C,3,FALSE),"")</f>
      </c>
    </row>
    <row r="902" spans="1:12" s="8" customFormat="1" x14ac:dyDescent="0.25">
      <c r="A902" s="12"/>
      <c r="B902" s="10"/>
      <c r="C902" s="10"/>
      <c r="D902" s="10"/>
      <c r="E902" s="10"/>
      <c r="F902" s="10">
        <f>IF(AND(D902&lt;&gt;"",E902&lt;&gt;""),((TIMEVALUE(E902)-TIMEVALUE(D902))*24*60),"")</f>
      </c>
      <c r="G902" s="10"/>
      <c r="H902" s="10"/>
      <c r="I902" s="10">
        <f>IF(G902="","Pending",IF(G902&gt;=J902,"Accepted",IF(G902&gt;=(J902-Configuration!$C$5),"Tolerance","Refusal")))</f>
      </c>
      <c r="J902" s="10">
        <f>IFERROR(VLOOKUP(B902,'Plot Plan'!$A:$D,4,FALSE),"")</f>
      </c>
      <c r="K902" s="10">
        <f>IFERROR(VLOOKUP(B902,'Plot Plan'!$A:$B,2,FALSE),"")</f>
      </c>
      <c r="L902" s="10">
        <f>IFERROR(VLOOKUP(B902,'Plot Plan'!$A:$C,3,FALSE),"")</f>
      </c>
    </row>
    <row r="903" spans="1:12" x14ac:dyDescent="0.25">
      <c r="A903" s="13"/>
      <c r="B903" s="11"/>
      <c r="C903" s="11"/>
      <c r="D903" s="11"/>
      <c r="E903" s="11"/>
      <c r="F903" s="11">
        <f>IF(AND(D903&lt;&gt;"",E903&lt;&gt;""),((TIMEVALUE(E903)-TIMEVALUE(D903))*24*60),"")</f>
      </c>
      <c r="G903" s="11"/>
      <c r="H903" s="11"/>
      <c r="I903" s="11">
        <f>IF(G903="","Pending",IF(G903&gt;=J903,"Accepted",IF(G903&gt;=(J903-Configuration!$C$5),"Tolerance","Refusal")))</f>
      </c>
      <c r="J903" s="11">
        <f>IFERROR(VLOOKUP(B903,'Plot Plan'!$A:$D,4,FALSE),"")</f>
      </c>
      <c r="K903" s="11">
        <f>IFERROR(VLOOKUP(B903,'Plot Plan'!$A:$B,2,FALSE),"")</f>
      </c>
      <c r="L903" s="11">
        <f>IFERROR(VLOOKUP(B903,'Plot Plan'!$A:$C,3,FALSE),"")</f>
      </c>
    </row>
    <row r="904" spans="1:12" s="8" customFormat="1" x14ac:dyDescent="0.25">
      <c r="A904" s="12"/>
      <c r="B904" s="10"/>
      <c r="C904" s="10"/>
      <c r="D904" s="10"/>
      <c r="E904" s="10"/>
      <c r="F904" s="10">
        <f>IF(AND(D904&lt;&gt;"",E904&lt;&gt;""),((TIMEVALUE(E904)-TIMEVALUE(D904))*24*60),"")</f>
      </c>
      <c r="G904" s="10"/>
      <c r="H904" s="10"/>
      <c r="I904" s="10">
        <f>IF(G904="","Pending",IF(G904&gt;=J904,"Accepted",IF(G904&gt;=(J904-Configuration!$C$5),"Tolerance","Refusal")))</f>
      </c>
      <c r="J904" s="10">
        <f>IFERROR(VLOOKUP(B904,'Plot Plan'!$A:$D,4,FALSE),"")</f>
      </c>
      <c r="K904" s="10">
        <f>IFERROR(VLOOKUP(B904,'Plot Plan'!$A:$B,2,FALSE),"")</f>
      </c>
      <c r="L904" s="10">
        <f>IFERROR(VLOOKUP(B904,'Plot Plan'!$A:$C,3,FALSE),"")</f>
      </c>
    </row>
    <row r="905" spans="1:12" x14ac:dyDescent="0.25">
      <c r="A905" s="13"/>
      <c r="B905" s="11"/>
      <c r="C905" s="11"/>
      <c r="D905" s="11"/>
      <c r="E905" s="11"/>
      <c r="F905" s="11">
        <f>IF(AND(D905&lt;&gt;"",E905&lt;&gt;""),((TIMEVALUE(E905)-TIMEVALUE(D905))*24*60),"")</f>
      </c>
      <c r="G905" s="11"/>
      <c r="H905" s="11"/>
      <c r="I905" s="11">
        <f>IF(G905="","Pending",IF(G905&gt;=J905,"Accepted",IF(G905&gt;=(J905-Configuration!$C$5),"Tolerance","Refusal")))</f>
      </c>
      <c r="J905" s="11">
        <f>IFERROR(VLOOKUP(B905,'Plot Plan'!$A:$D,4,FALSE),"")</f>
      </c>
      <c r="K905" s="11">
        <f>IFERROR(VLOOKUP(B905,'Plot Plan'!$A:$B,2,FALSE),"")</f>
      </c>
      <c r="L905" s="11">
        <f>IFERROR(VLOOKUP(B905,'Plot Plan'!$A:$C,3,FALSE),"")</f>
      </c>
    </row>
    <row r="906" spans="1:12" s="8" customFormat="1" x14ac:dyDescent="0.25">
      <c r="A906" s="12"/>
      <c r="B906" s="10"/>
      <c r="C906" s="10"/>
      <c r="D906" s="10"/>
      <c r="E906" s="10"/>
      <c r="F906" s="10">
        <f>IF(AND(D906&lt;&gt;"",E906&lt;&gt;""),((TIMEVALUE(E906)-TIMEVALUE(D906))*24*60),"")</f>
      </c>
      <c r="G906" s="10"/>
      <c r="H906" s="10"/>
      <c r="I906" s="10">
        <f>IF(G906="","Pending",IF(G906&gt;=J906,"Accepted",IF(G906&gt;=(J906-Configuration!$C$5),"Tolerance","Refusal")))</f>
      </c>
      <c r="J906" s="10">
        <f>IFERROR(VLOOKUP(B906,'Plot Plan'!$A:$D,4,FALSE),"")</f>
      </c>
      <c r="K906" s="10">
        <f>IFERROR(VLOOKUP(B906,'Plot Plan'!$A:$B,2,FALSE),"")</f>
      </c>
      <c r="L906" s="10">
        <f>IFERROR(VLOOKUP(B906,'Plot Plan'!$A:$C,3,FALSE),"")</f>
      </c>
    </row>
    <row r="907" spans="1:12" x14ac:dyDescent="0.25">
      <c r="A907" s="13"/>
      <c r="B907" s="11"/>
      <c r="C907" s="11"/>
      <c r="D907" s="11"/>
      <c r="E907" s="11"/>
      <c r="F907" s="11">
        <f>IF(AND(D907&lt;&gt;"",E907&lt;&gt;""),((TIMEVALUE(E907)-TIMEVALUE(D907))*24*60),"")</f>
      </c>
      <c r="G907" s="11"/>
      <c r="H907" s="11"/>
      <c r="I907" s="11">
        <f>IF(G907="","Pending",IF(G907&gt;=J907,"Accepted",IF(G907&gt;=(J907-Configuration!$C$5),"Tolerance","Refusal")))</f>
      </c>
      <c r="J907" s="11">
        <f>IFERROR(VLOOKUP(B907,'Plot Plan'!$A:$D,4,FALSE),"")</f>
      </c>
      <c r="K907" s="11">
        <f>IFERROR(VLOOKUP(B907,'Plot Plan'!$A:$B,2,FALSE),"")</f>
      </c>
      <c r="L907" s="11">
        <f>IFERROR(VLOOKUP(B907,'Plot Plan'!$A:$C,3,FALSE),"")</f>
      </c>
    </row>
    <row r="908" spans="1:12" s="8" customFormat="1" x14ac:dyDescent="0.25">
      <c r="A908" s="12"/>
      <c r="B908" s="10"/>
      <c r="C908" s="10"/>
      <c r="D908" s="10"/>
      <c r="E908" s="10"/>
      <c r="F908" s="10">
        <f>IF(AND(D908&lt;&gt;"",E908&lt;&gt;""),((TIMEVALUE(E908)-TIMEVALUE(D908))*24*60),"")</f>
      </c>
      <c r="G908" s="10"/>
      <c r="H908" s="10"/>
      <c r="I908" s="10">
        <f>IF(G908="","Pending",IF(G908&gt;=J908,"Accepted",IF(G908&gt;=(J908-Configuration!$C$5),"Tolerance","Refusal")))</f>
      </c>
      <c r="J908" s="10">
        <f>IFERROR(VLOOKUP(B908,'Plot Plan'!$A:$D,4,FALSE),"")</f>
      </c>
      <c r="K908" s="10">
        <f>IFERROR(VLOOKUP(B908,'Plot Plan'!$A:$B,2,FALSE),"")</f>
      </c>
      <c r="L908" s="10">
        <f>IFERROR(VLOOKUP(B908,'Plot Plan'!$A:$C,3,FALSE),"")</f>
      </c>
    </row>
    <row r="909" spans="1:12" x14ac:dyDescent="0.25">
      <c r="A909" s="13"/>
      <c r="B909" s="11"/>
      <c r="C909" s="11"/>
      <c r="D909" s="11"/>
      <c r="E909" s="11"/>
      <c r="F909" s="11">
        <f>IF(AND(D909&lt;&gt;"",E909&lt;&gt;""),((TIMEVALUE(E909)-TIMEVALUE(D909))*24*60),"")</f>
      </c>
      <c r="G909" s="11"/>
      <c r="H909" s="11"/>
      <c r="I909" s="11">
        <f>IF(G909="","Pending",IF(G909&gt;=J909,"Accepted",IF(G909&gt;=(J909-Configuration!$C$5),"Tolerance","Refusal")))</f>
      </c>
      <c r="J909" s="11">
        <f>IFERROR(VLOOKUP(B909,'Plot Plan'!$A:$D,4,FALSE),"")</f>
      </c>
      <c r="K909" s="11">
        <f>IFERROR(VLOOKUP(B909,'Plot Plan'!$A:$B,2,FALSE),"")</f>
      </c>
      <c r="L909" s="11">
        <f>IFERROR(VLOOKUP(B909,'Plot Plan'!$A:$C,3,FALSE),"")</f>
      </c>
    </row>
    <row r="910" spans="1:12" s="8" customFormat="1" x14ac:dyDescent="0.25">
      <c r="A910" s="12"/>
      <c r="B910" s="10"/>
      <c r="C910" s="10"/>
      <c r="D910" s="10"/>
      <c r="E910" s="10"/>
      <c r="F910" s="10">
        <f>IF(AND(D910&lt;&gt;"",E910&lt;&gt;""),((TIMEVALUE(E910)-TIMEVALUE(D910))*24*60),"")</f>
      </c>
      <c r="G910" s="10"/>
      <c r="H910" s="10"/>
      <c r="I910" s="10">
        <f>IF(G910="","Pending",IF(G910&gt;=J910,"Accepted",IF(G910&gt;=(J910-Configuration!$C$5),"Tolerance","Refusal")))</f>
      </c>
      <c r="J910" s="10">
        <f>IFERROR(VLOOKUP(B910,'Plot Plan'!$A:$D,4,FALSE),"")</f>
      </c>
      <c r="K910" s="10">
        <f>IFERROR(VLOOKUP(B910,'Plot Plan'!$A:$B,2,FALSE),"")</f>
      </c>
      <c r="L910" s="10">
        <f>IFERROR(VLOOKUP(B910,'Plot Plan'!$A:$C,3,FALSE),"")</f>
      </c>
    </row>
    <row r="911" spans="1:12" x14ac:dyDescent="0.25">
      <c r="A911" s="13"/>
      <c r="B911" s="11"/>
      <c r="C911" s="11"/>
      <c r="D911" s="11"/>
      <c r="E911" s="11"/>
      <c r="F911" s="11">
        <f>IF(AND(D911&lt;&gt;"",E911&lt;&gt;""),((TIMEVALUE(E911)-TIMEVALUE(D911))*24*60),"")</f>
      </c>
      <c r="G911" s="11"/>
      <c r="H911" s="11"/>
      <c r="I911" s="11">
        <f>IF(G911="","Pending",IF(G911&gt;=J911,"Accepted",IF(G911&gt;=(J911-Configuration!$C$5),"Tolerance","Refusal")))</f>
      </c>
      <c r="J911" s="11">
        <f>IFERROR(VLOOKUP(B911,'Plot Plan'!$A:$D,4,FALSE),"")</f>
      </c>
      <c r="K911" s="11">
        <f>IFERROR(VLOOKUP(B911,'Plot Plan'!$A:$B,2,FALSE),"")</f>
      </c>
      <c r="L911" s="11">
        <f>IFERROR(VLOOKUP(B911,'Plot Plan'!$A:$C,3,FALSE),"")</f>
      </c>
    </row>
    <row r="912" spans="1:12" s="8" customFormat="1" x14ac:dyDescent="0.25">
      <c r="A912" s="12"/>
      <c r="B912" s="10"/>
      <c r="C912" s="10"/>
      <c r="D912" s="10"/>
      <c r="E912" s="10"/>
      <c r="F912" s="10">
        <f>IF(AND(D912&lt;&gt;"",E912&lt;&gt;""),((TIMEVALUE(E912)-TIMEVALUE(D912))*24*60),"")</f>
      </c>
      <c r="G912" s="10"/>
      <c r="H912" s="10"/>
      <c r="I912" s="10">
        <f>IF(G912="","Pending",IF(G912&gt;=J912,"Accepted",IF(G912&gt;=(J912-Configuration!$C$5),"Tolerance","Refusal")))</f>
      </c>
      <c r="J912" s="10">
        <f>IFERROR(VLOOKUP(B912,'Plot Plan'!$A:$D,4,FALSE),"")</f>
      </c>
      <c r="K912" s="10">
        <f>IFERROR(VLOOKUP(B912,'Plot Plan'!$A:$B,2,FALSE),"")</f>
      </c>
      <c r="L912" s="10">
        <f>IFERROR(VLOOKUP(B912,'Plot Plan'!$A:$C,3,FALSE),"")</f>
      </c>
    </row>
    <row r="913" spans="1:12" x14ac:dyDescent="0.25">
      <c r="A913" s="13"/>
      <c r="B913" s="11"/>
      <c r="C913" s="11"/>
      <c r="D913" s="11"/>
      <c r="E913" s="11"/>
      <c r="F913" s="11">
        <f>IF(AND(D913&lt;&gt;"",E913&lt;&gt;""),((TIMEVALUE(E913)-TIMEVALUE(D913))*24*60),"")</f>
      </c>
      <c r="G913" s="11"/>
      <c r="H913" s="11"/>
      <c r="I913" s="11">
        <f>IF(G913="","Pending",IF(G913&gt;=J913,"Accepted",IF(G913&gt;=(J913-Configuration!$C$5),"Tolerance","Refusal")))</f>
      </c>
      <c r="J913" s="11">
        <f>IFERROR(VLOOKUP(B913,'Plot Plan'!$A:$D,4,FALSE),"")</f>
      </c>
      <c r="K913" s="11">
        <f>IFERROR(VLOOKUP(B913,'Plot Plan'!$A:$B,2,FALSE),"")</f>
      </c>
      <c r="L913" s="11">
        <f>IFERROR(VLOOKUP(B913,'Plot Plan'!$A:$C,3,FALSE),"")</f>
      </c>
    </row>
    <row r="914" spans="1:12" s="8" customFormat="1" x14ac:dyDescent="0.25">
      <c r="A914" s="12"/>
      <c r="B914" s="10"/>
      <c r="C914" s="10"/>
      <c r="D914" s="10"/>
      <c r="E914" s="10"/>
      <c r="F914" s="10">
        <f>IF(AND(D914&lt;&gt;"",E914&lt;&gt;""),((TIMEVALUE(E914)-TIMEVALUE(D914))*24*60),"")</f>
      </c>
      <c r="G914" s="10"/>
      <c r="H914" s="10"/>
      <c r="I914" s="10">
        <f>IF(G914="","Pending",IF(G914&gt;=J914,"Accepted",IF(G914&gt;=(J914-Configuration!$C$5),"Tolerance","Refusal")))</f>
      </c>
      <c r="J914" s="10">
        <f>IFERROR(VLOOKUP(B914,'Plot Plan'!$A:$D,4,FALSE),"")</f>
      </c>
      <c r="K914" s="10">
        <f>IFERROR(VLOOKUP(B914,'Plot Plan'!$A:$B,2,FALSE),"")</f>
      </c>
      <c r="L914" s="10">
        <f>IFERROR(VLOOKUP(B914,'Plot Plan'!$A:$C,3,FALSE),"")</f>
      </c>
    </row>
    <row r="915" spans="1:12" x14ac:dyDescent="0.25">
      <c r="A915" s="13"/>
      <c r="B915" s="11"/>
      <c r="C915" s="11"/>
      <c r="D915" s="11"/>
      <c r="E915" s="11"/>
      <c r="F915" s="11">
        <f>IF(AND(D915&lt;&gt;"",E915&lt;&gt;""),((TIMEVALUE(E915)-TIMEVALUE(D915))*24*60),"")</f>
      </c>
      <c r="G915" s="11"/>
      <c r="H915" s="11"/>
      <c r="I915" s="11">
        <f>IF(G915="","Pending",IF(G915&gt;=J915,"Accepted",IF(G915&gt;=(J915-Configuration!$C$5),"Tolerance","Refusal")))</f>
      </c>
      <c r="J915" s="11">
        <f>IFERROR(VLOOKUP(B915,'Plot Plan'!$A:$D,4,FALSE),"")</f>
      </c>
      <c r="K915" s="11">
        <f>IFERROR(VLOOKUP(B915,'Plot Plan'!$A:$B,2,FALSE),"")</f>
      </c>
      <c r="L915" s="11">
        <f>IFERROR(VLOOKUP(B915,'Plot Plan'!$A:$C,3,FALSE),"")</f>
      </c>
    </row>
    <row r="916" spans="1:12" s="8" customFormat="1" x14ac:dyDescent="0.25">
      <c r="A916" s="12"/>
      <c r="B916" s="10"/>
      <c r="C916" s="10"/>
      <c r="D916" s="10"/>
      <c r="E916" s="10"/>
      <c r="F916" s="10">
        <f>IF(AND(D916&lt;&gt;"",E916&lt;&gt;""),((TIMEVALUE(E916)-TIMEVALUE(D916))*24*60),"")</f>
      </c>
      <c r="G916" s="10"/>
      <c r="H916" s="10"/>
      <c r="I916" s="10">
        <f>IF(G916="","Pending",IF(G916&gt;=J916,"Accepted",IF(G916&gt;=(J916-Configuration!$C$5),"Tolerance","Refusal")))</f>
      </c>
      <c r="J916" s="10">
        <f>IFERROR(VLOOKUP(B916,'Plot Plan'!$A:$D,4,FALSE),"")</f>
      </c>
      <c r="K916" s="10">
        <f>IFERROR(VLOOKUP(B916,'Plot Plan'!$A:$B,2,FALSE),"")</f>
      </c>
      <c r="L916" s="10">
        <f>IFERROR(VLOOKUP(B916,'Plot Plan'!$A:$C,3,FALSE),"")</f>
      </c>
    </row>
    <row r="917" spans="1:12" x14ac:dyDescent="0.25">
      <c r="A917" s="13"/>
      <c r="B917" s="11"/>
      <c r="C917" s="11"/>
      <c r="D917" s="11"/>
      <c r="E917" s="11"/>
      <c r="F917" s="11">
        <f>IF(AND(D917&lt;&gt;"",E917&lt;&gt;""),((TIMEVALUE(E917)-TIMEVALUE(D917))*24*60),"")</f>
      </c>
      <c r="G917" s="11"/>
      <c r="H917" s="11"/>
      <c r="I917" s="11">
        <f>IF(G917="","Pending",IF(G917&gt;=J917,"Accepted",IF(G917&gt;=(J917-Configuration!$C$5),"Tolerance","Refusal")))</f>
      </c>
      <c r="J917" s="11">
        <f>IFERROR(VLOOKUP(B917,'Plot Plan'!$A:$D,4,FALSE),"")</f>
      </c>
      <c r="K917" s="11">
        <f>IFERROR(VLOOKUP(B917,'Plot Plan'!$A:$B,2,FALSE),"")</f>
      </c>
      <c r="L917" s="11">
        <f>IFERROR(VLOOKUP(B917,'Plot Plan'!$A:$C,3,FALSE),"")</f>
      </c>
    </row>
    <row r="918" spans="1:12" s="8" customFormat="1" x14ac:dyDescent="0.25">
      <c r="A918" s="12"/>
      <c r="B918" s="10"/>
      <c r="C918" s="10"/>
      <c r="D918" s="10"/>
      <c r="E918" s="10"/>
      <c r="F918" s="10">
        <f>IF(AND(D918&lt;&gt;"",E918&lt;&gt;""),((TIMEVALUE(E918)-TIMEVALUE(D918))*24*60),"")</f>
      </c>
      <c r="G918" s="10"/>
      <c r="H918" s="10"/>
      <c r="I918" s="10">
        <f>IF(G918="","Pending",IF(G918&gt;=J918,"Accepted",IF(G918&gt;=(J918-Configuration!$C$5),"Tolerance","Refusal")))</f>
      </c>
      <c r="J918" s="10">
        <f>IFERROR(VLOOKUP(B918,'Plot Plan'!$A:$D,4,FALSE),"")</f>
      </c>
      <c r="K918" s="10">
        <f>IFERROR(VLOOKUP(B918,'Plot Plan'!$A:$B,2,FALSE),"")</f>
      </c>
      <c r="L918" s="10">
        <f>IFERROR(VLOOKUP(B918,'Plot Plan'!$A:$C,3,FALSE),"")</f>
      </c>
    </row>
    <row r="919" spans="1:12" x14ac:dyDescent="0.25">
      <c r="A919" s="13"/>
      <c r="B919" s="11"/>
      <c r="C919" s="11"/>
      <c r="D919" s="11"/>
      <c r="E919" s="11"/>
      <c r="F919" s="11">
        <f>IF(AND(D919&lt;&gt;"",E919&lt;&gt;""),((TIMEVALUE(E919)-TIMEVALUE(D919))*24*60),"")</f>
      </c>
      <c r="G919" s="11"/>
      <c r="H919" s="11"/>
      <c r="I919" s="11">
        <f>IF(G919="","Pending",IF(G919&gt;=J919,"Accepted",IF(G919&gt;=(J919-Configuration!$C$5),"Tolerance","Refusal")))</f>
      </c>
      <c r="J919" s="11">
        <f>IFERROR(VLOOKUP(B919,'Plot Plan'!$A:$D,4,FALSE),"")</f>
      </c>
      <c r="K919" s="11">
        <f>IFERROR(VLOOKUP(B919,'Plot Plan'!$A:$B,2,FALSE),"")</f>
      </c>
      <c r="L919" s="11">
        <f>IFERROR(VLOOKUP(B919,'Plot Plan'!$A:$C,3,FALSE),"")</f>
      </c>
    </row>
    <row r="920" spans="1:12" s="8" customFormat="1" x14ac:dyDescent="0.25">
      <c r="A920" s="12"/>
      <c r="B920" s="10"/>
      <c r="C920" s="10"/>
      <c r="D920" s="10"/>
      <c r="E920" s="10"/>
      <c r="F920" s="10">
        <f>IF(AND(D920&lt;&gt;"",E920&lt;&gt;""),((TIMEVALUE(E920)-TIMEVALUE(D920))*24*60),"")</f>
      </c>
      <c r="G920" s="10"/>
      <c r="H920" s="10"/>
      <c r="I920" s="10">
        <f>IF(G920="","Pending",IF(G920&gt;=J920,"Accepted",IF(G920&gt;=(J920-Configuration!$C$5),"Tolerance","Refusal")))</f>
      </c>
      <c r="J920" s="10">
        <f>IFERROR(VLOOKUP(B920,'Plot Plan'!$A:$D,4,FALSE),"")</f>
      </c>
      <c r="K920" s="10">
        <f>IFERROR(VLOOKUP(B920,'Plot Plan'!$A:$B,2,FALSE),"")</f>
      </c>
      <c r="L920" s="10">
        <f>IFERROR(VLOOKUP(B920,'Plot Plan'!$A:$C,3,FALSE),"")</f>
      </c>
    </row>
    <row r="921" spans="1:12" x14ac:dyDescent="0.25">
      <c r="A921" s="13"/>
      <c r="B921" s="11"/>
      <c r="C921" s="11"/>
      <c r="D921" s="11"/>
      <c r="E921" s="11"/>
      <c r="F921" s="11">
        <f>IF(AND(D921&lt;&gt;"",E921&lt;&gt;""),((TIMEVALUE(E921)-TIMEVALUE(D921))*24*60),"")</f>
      </c>
      <c r="G921" s="11"/>
      <c r="H921" s="11"/>
      <c r="I921" s="11">
        <f>IF(G921="","Pending",IF(G921&gt;=J921,"Accepted",IF(G921&gt;=(J921-Configuration!$C$5),"Tolerance","Refusal")))</f>
      </c>
      <c r="J921" s="11">
        <f>IFERROR(VLOOKUP(B921,'Plot Plan'!$A:$D,4,FALSE),"")</f>
      </c>
      <c r="K921" s="11">
        <f>IFERROR(VLOOKUP(B921,'Plot Plan'!$A:$B,2,FALSE),"")</f>
      </c>
      <c r="L921" s="11">
        <f>IFERROR(VLOOKUP(B921,'Plot Plan'!$A:$C,3,FALSE),"")</f>
      </c>
    </row>
    <row r="922" spans="1:12" s="8" customFormat="1" x14ac:dyDescent="0.25">
      <c r="A922" s="12"/>
      <c r="B922" s="10"/>
      <c r="C922" s="10"/>
      <c r="D922" s="10"/>
      <c r="E922" s="10"/>
      <c r="F922" s="10">
        <f>IF(AND(D922&lt;&gt;"",E922&lt;&gt;""),((TIMEVALUE(E922)-TIMEVALUE(D922))*24*60),"")</f>
      </c>
      <c r="G922" s="10"/>
      <c r="H922" s="10"/>
      <c r="I922" s="10">
        <f>IF(G922="","Pending",IF(G922&gt;=J922,"Accepted",IF(G922&gt;=(J922-Configuration!$C$5),"Tolerance","Refusal")))</f>
      </c>
      <c r="J922" s="10">
        <f>IFERROR(VLOOKUP(B922,'Plot Plan'!$A:$D,4,FALSE),"")</f>
      </c>
      <c r="K922" s="10">
        <f>IFERROR(VLOOKUP(B922,'Plot Plan'!$A:$B,2,FALSE),"")</f>
      </c>
      <c r="L922" s="10">
        <f>IFERROR(VLOOKUP(B922,'Plot Plan'!$A:$C,3,FALSE),"")</f>
      </c>
    </row>
    <row r="923" spans="1:12" x14ac:dyDescent="0.25">
      <c r="A923" s="13"/>
      <c r="B923" s="11"/>
      <c r="C923" s="11"/>
      <c r="D923" s="11"/>
      <c r="E923" s="11"/>
      <c r="F923" s="11">
        <f>IF(AND(D923&lt;&gt;"",E923&lt;&gt;""),((TIMEVALUE(E923)-TIMEVALUE(D923))*24*60),"")</f>
      </c>
      <c r="G923" s="11"/>
      <c r="H923" s="11"/>
      <c r="I923" s="11">
        <f>IF(G923="","Pending",IF(G923&gt;=J923,"Accepted",IF(G923&gt;=(J923-Configuration!$C$5),"Tolerance","Refusal")))</f>
      </c>
      <c r="J923" s="11">
        <f>IFERROR(VLOOKUP(B923,'Plot Plan'!$A:$D,4,FALSE),"")</f>
      </c>
      <c r="K923" s="11">
        <f>IFERROR(VLOOKUP(B923,'Plot Plan'!$A:$B,2,FALSE),"")</f>
      </c>
      <c r="L923" s="11">
        <f>IFERROR(VLOOKUP(B923,'Plot Plan'!$A:$C,3,FALSE),"")</f>
      </c>
    </row>
    <row r="924" spans="1:12" s="8" customFormat="1" x14ac:dyDescent="0.25">
      <c r="A924" s="12"/>
      <c r="B924" s="10"/>
      <c r="C924" s="10"/>
      <c r="D924" s="10"/>
      <c r="E924" s="10"/>
      <c r="F924" s="10">
        <f>IF(AND(D924&lt;&gt;"",E924&lt;&gt;""),((TIMEVALUE(E924)-TIMEVALUE(D924))*24*60),"")</f>
      </c>
      <c r="G924" s="10"/>
      <c r="H924" s="10"/>
      <c r="I924" s="10">
        <f>IF(G924="","Pending",IF(G924&gt;=J924,"Accepted",IF(G924&gt;=(J924-Configuration!$C$5),"Tolerance","Refusal")))</f>
      </c>
      <c r="J924" s="10">
        <f>IFERROR(VLOOKUP(B924,'Plot Plan'!$A:$D,4,FALSE),"")</f>
      </c>
      <c r="K924" s="10">
        <f>IFERROR(VLOOKUP(B924,'Plot Plan'!$A:$B,2,FALSE),"")</f>
      </c>
      <c r="L924" s="10">
        <f>IFERROR(VLOOKUP(B924,'Plot Plan'!$A:$C,3,FALSE),"")</f>
      </c>
    </row>
    <row r="925" spans="1:12" x14ac:dyDescent="0.25">
      <c r="A925" s="13"/>
      <c r="B925" s="11"/>
      <c r="C925" s="11"/>
      <c r="D925" s="11"/>
      <c r="E925" s="11"/>
      <c r="F925" s="11">
        <f>IF(AND(D925&lt;&gt;"",E925&lt;&gt;""),((TIMEVALUE(E925)-TIMEVALUE(D925))*24*60),"")</f>
      </c>
      <c r="G925" s="11"/>
      <c r="H925" s="11"/>
      <c r="I925" s="11">
        <f>IF(G925="","Pending",IF(G925&gt;=J925,"Accepted",IF(G925&gt;=(J925-Configuration!$C$5),"Tolerance","Refusal")))</f>
      </c>
      <c r="J925" s="11">
        <f>IFERROR(VLOOKUP(B925,'Plot Plan'!$A:$D,4,FALSE),"")</f>
      </c>
      <c r="K925" s="11">
        <f>IFERROR(VLOOKUP(B925,'Plot Plan'!$A:$B,2,FALSE),"")</f>
      </c>
      <c r="L925" s="11">
        <f>IFERROR(VLOOKUP(B925,'Plot Plan'!$A:$C,3,FALSE),"")</f>
      </c>
    </row>
    <row r="926" spans="1:12" s="8" customFormat="1" x14ac:dyDescent="0.25">
      <c r="A926" s="12"/>
      <c r="B926" s="10"/>
      <c r="C926" s="10"/>
      <c r="D926" s="10"/>
      <c r="E926" s="10"/>
      <c r="F926" s="10">
        <f>IF(AND(D926&lt;&gt;"",E926&lt;&gt;""),((TIMEVALUE(E926)-TIMEVALUE(D926))*24*60),"")</f>
      </c>
      <c r="G926" s="10"/>
      <c r="H926" s="10"/>
      <c r="I926" s="10">
        <f>IF(G926="","Pending",IF(G926&gt;=J926,"Accepted",IF(G926&gt;=(J926-Configuration!$C$5),"Tolerance","Refusal")))</f>
      </c>
      <c r="J926" s="10">
        <f>IFERROR(VLOOKUP(B926,'Plot Plan'!$A:$D,4,FALSE),"")</f>
      </c>
      <c r="K926" s="10">
        <f>IFERROR(VLOOKUP(B926,'Plot Plan'!$A:$B,2,FALSE),"")</f>
      </c>
      <c r="L926" s="10">
        <f>IFERROR(VLOOKUP(B926,'Plot Plan'!$A:$C,3,FALSE),"")</f>
      </c>
    </row>
    <row r="927" spans="1:12" x14ac:dyDescent="0.25">
      <c r="A927" s="13"/>
      <c r="B927" s="11"/>
      <c r="C927" s="11"/>
      <c r="D927" s="11"/>
      <c r="E927" s="11"/>
      <c r="F927" s="11">
        <f>IF(AND(D927&lt;&gt;"",E927&lt;&gt;""),((TIMEVALUE(E927)-TIMEVALUE(D927))*24*60),"")</f>
      </c>
      <c r="G927" s="11"/>
      <c r="H927" s="11"/>
      <c r="I927" s="11">
        <f>IF(G927="","Pending",IF(G927&gt;=J927,"Accepted",IF(G927&gt;=(J927-Configuration!$C$5),"Tolerance","Refusal")))</f>
      </c>
      <c r="J927" s="11">
        <f>IFERROR(VLOOKUP(B927,'Plot Plan'!$A:$D,4,FALSE),"")</f>
      </c>
      <c r="K927" s="11">
        <f>IFERROR(VLOOKUP(B927,'Plot Plan'!$A:$B,2,FALSE),"")</f>
      </c>
      <c r="L927" s="11">
        <f>IFERROR(VLOOKUP(B927,'Plot Plan'!$A:$C,3,FALSE),"")</f>
      </c>
    </row>
    <row r="928" spans="1:12" s="8" customFormat="1" x14ac:dyDescent="0.25">
      <c r="A928" s="12"/>
      <c r="B928" s="10"/>
      <c r="C928" s="10"/>
      <c r="D928" s="10"/>
      <c r="E928" s="10"/>
      <c r="F928" s="10">
        <f>IF(AND(D928&lt;&gt;"",E928&lt;&gt;""),((TIMEVALUE(E928)-TIMEVALUE(D928))*24*60),"")</f>
      </c>
      <c r="G928" s="10"/>
      <c r="H928" s="10"/>
      <c r="I928" s="10">
        <f>IF(G928="","Pending",IF(G928&gt;=J928,"Accepted",IF(G928&gt;=(J928-Configuration!$C$5),"Tolerance","Refusal")))</f>
      </c>
      <c r="J928" s="10">
        <f>IFERROR(VLOOKUP(B928,'Plot Plan'!$A:$D,4,FALSE),"")</f>
      </c>
      <c r="K928" s="10">
        <f>IFERROR(VLOOKUP(B928,'Plot Plan'!$A:$B,2,FALSE),"")</f>
      </c>
      <c r="L928" s="10">
        <f>IFERROR(VLOOKUP(B928,'Plot Plan'!$A:$C,3,FALSE),"")</f>
      </c>
    </row>
    <row r="929" spans="1:12" x14ac:dyDescent="0.25">
      <c r="A929" s="13"/>
      <c r="B929" s="11"/>
      <c r="C929" s="11"/>
      <c r="D929" s="11"/>
      <c r="E929" s="11"/>
      <c r="F929" s="11">
        <f>IF(AND(D929&lt;&gt;"",E929&lt;&gt;""),((TIMEVALUE(E929)-TIMEVALUE(D929))*24*60),"")</f>
      </c>
      <c r="G929" s="11"/>
      <c r="H929" s="11"/>
      <c r="I929" s="11">
        <f>IF(G929="","Pending",IF(G929&gt;=J929,"Accepted",IF(G929&gt;=(J929-Configuration!$C$5),"Tolerance","Refusal")))</f>
      </c>
      <c r="J929" s="11">
        <f>IFERROR(VLOOKUP(B929,'Plot Plan'!$A:$D,4,FALSE),"")</f>
      </c>
      <c r="K929" s="11">
        <f>IFERROR(VLOOKUP(B929,'Plot Plan'!$A:$B,2,FALSE),"")</f>
      </c>
      <c r="L929" s="11">
        <f>IFERROR(VLOOKUP(B929,'Plot Plan'!$A:$C,3,FALSE),"")</f>
      </c>
    </row>
    <row r="930" spans="1:12" s="8" customFormat="1" x14ac:dyDescent="0.25">
      <c r="A930" s="12"/>
      <c r="B930" s="10"/>
      <c r="C930" s="10"/>
      <c r="D930" s="10"/>
      <c r="E930" s="10"/>
      <c r="F930" s="10">
        <f>IF(AND(D930&lt;&gt;"",E930&lt;&gt;""),((TIMEVALUE(E930)-TIMEVALUE(D930))*24*60),"")</f>
      </c>
      <c r="G930" s="10"/>
      <c r="H930" s="10"/>
      <c r="I930" s="10">
        <f>IF(G930="","Pending",IF(G930&gt;=J930,"Accepted",IF(G930&gt;=(J930-Configuration!$C$5),"Tolerance","Refusal")))</f>
      </c>
      <c r="J930" s="10">
        <f>IFERROR(VLOOKUP(B930,'Plot Plan'!$A:$D,4,FALSE),"")</f>
      </c>
      <c r="K930" s="10">
        <f>IFERROR(VLOOKUP(B930,'Plot Plan'!$A:$B,2,FALSE),"")</f>
      </c>
      <c r="L930" s="10">
        <f>IFERROR(VLOOKUP(B930,'Plot Plan'!$A:$C,3,FALSE),"")</f>
      </c>
    </row>
    <row r="931" spans="1:12" x14ac:dyDescent="0.25">
      <c r="A931" s="13"/>
      <c r="B931" s="11"/>
      <c r="C931" s="11"/>
      <c r="D931" s="11"/>
      <c r="E931" s="11"/>
      <c r="F931" s="11">
        <f>IF(AND(D931&lt;&gt;"",E931&lt;&gt;""),((TIMEVALUE(E931)-TIMEVALUE(D931))*24*60),"")</f>
      </c>
      <c r="G931" s="11"/>
      <c r="H931" s="11"/>
      <c r="I931" s="11">
        <f>IF(G931="","Pending",IF(G931&gt;=J931,"Accepted",IF(G931&gt;=(J931-Configuration!$C$5),"Tolerance","Refusal")))</f>
      </c>
      <c r="J931" s="11">
        <f>IFERROR(VLOOKUP(B931,'Plot Plan'!$A:$D,4,FALSE),"")</f>
      </c>
      <c r="K931" s="11">
        <f>IFERROR(VLOOKUP(B931,'Plot Plan'!$A:$B,2,FALSE),"")</f>
      </c>
      <c r="L931" s="11">
        <f>IFERROR(VLOOKUP(B931,'Plot Plan'!$A:$C,3,FALSE),"")</f>
      </c>
    </row>
    <row r="932" spans="1:12" s="8" customFormat="1" x14ac:dyDescent="0.25">
      <c r="A932" s="12"/>
      <c r="B932" s="10"/>
      <c r="C932" s="10"/>
      <c r="D932" s="10"/>
      <c r="E932" s="10"/>
      <c r="F932" s="10">
        <f>IF(AND(D932&lt;&gt;"",E932&lt;&gt;""),((TIMEVALUE(E932)-TIMEVALUE(D932))*24*60),"")</f>
      </c>
      <c r="G932" s="10"/>
      <c r="H932" s="10"/>
      <c r="I932" s="10">
        <f>IF(G932="","Pending",IF(G932&gt;=J932,"Accepted",IF(G932&gt;=(J932-Configuration!$C$5),"Tolerance","Refusal")))</f>
      </c>
      <c r="J932" s="10">
        <f>IFERROR(VLOOKUP(B932,'Plot Plan'!$A:$D,4,FALSE),"")</f>
      </c>
      <c r="K932" s="10">
        <f>IFERROR(VLOOKUP(B932,'Plot Plan'!$A:$B,2,FALSE),"")</f>
      </c>
      <c r="L932" s="10">
        <f>IFERROR(VLOOKUP(B932,'Plot Plan'!$A:$C,3,FALSE),"")</f>
      </c>
    </row>
    <row r="933" spans="1:12" x14ac:dyDescent="0.25">
      <c r="A933" s="13"/>
      <c r="B933" s="11"/>
      <c r="C933" s="11"/>
      <c r="D933" s="11"/>
      <c r="E933" s="11"/>
      <c r="F933" s="11">
        <f>IF(AND(D933&lt;&gt;"",E933&lt;&gt;""),((TIMEVALUE(E933)-TIMEVALUE(D933))*24*60),"")</f>
      </c>
      <c r="G933" s="11"/>
      <c r="H933" s="11"/>
      <c r="I933" s="11">
        <f>IF(G933="","Pending",IF(G933&gt;=J933,"Accepted",IF(G933&gt;=(J933-Configuration!$C$5),"Tolerance","Refusal")))</f>
      </c>
      <c r="J933" s="11">
        <f>IFERROR(VLOOKUP(B933,'Plot Plan'!$A:$D,4,FALSE),"")</f>
      </c>
      <c r="K933" s="11">
        <f>IFERROR(VLOOKUP(B933,'Plot Plan'!$A:$B,2,FALSE),"")</f>
      </c>
      <c r="L933" s="11">
        <f>IFERROR(VLOOKUP(B933,'Plot Plan'!$A:$C,3,FALSE),"")</f>
      </c>
    </row>
    <row r="934" spans="1:12" s="8" customFormat="1" x14ac:dyDescent="0.25">
      <c r="A934" s="12"/>
      <c r="B934" s="10"/>
      <c r="C934" s="10"/>
      <c r="D934" s="10"/>
      <c r="E934" s="10"/>
      <c r="F934" s="10">
        <f>IF(AND(D934&lt;&gt;"",E934&lt;&gt;""),((TIMEVALUE(E934)-TIMEVALUE(D934))*24*60),"")</f>
      </c>
      <c r="G934" s="10"/>
      <c r="H934" s="10"/>
      <c r="I934" s="10">
        <f>IF(G934="","Pending",IF(G934&gt;=J934,"Accepted",IF(G934&gt;=(J934-Configuration!$C$5),"Tolerance","Refusal")))</f>
      </c>
      <c r="J934" s="10">
        <f>IFERROR(VLOOKUP(B934,'Plot Plan'!$A:$D,4,FALSE),"")</f>
      </c>
      <c r="K934" s="10">
        <f>IFERROR(VLOOKUP(B934,'Plot Plan'!$A:$B,2,FALSE),"")</f>
      </c>
      <c r="L934" s="10">
        <f>IFERROR(VLOOKUP(B934,'Plot Plan'!$A:$C,3,FALSE),"")</f>
      </c>
    </row>
    <row r="935" spans="1:12" x14ac:dyDescent="0.25">
      <c r="A935" s="13"/>
      <c r="B935" s="11"/>
      <c r="C935" s="11"/>
      <c r="D935" s="11"/>
      <c r="E935" s="11"/>
      <c r="F935" s="11">
        <f>IF(AND(D935&lt;&gt;"",E935&lt;&gt;""),((TIMEVALUE(E935)-TIMEVALUE(D935))*24*60),"")</f>
      </c>
      <c r="G935" s="11"/>
      <c r="H935" s="11"/>
      <c r="I935" s="11">
        <f>IF(G935="","Pending",IF(G935&gt;=J935,"Accepted",IF(G935&gt;=(J935-Configuration!$C$5),"Tolerance","Refusal")))</f>
      </c>
      <c r="J935" s="11">
        <f>IFERROR(VLOOKUP(B935,'Plot Plan'!$A:$D,4,FALSE),"")</f>
      </c>
      <c r="K935" s="11">
        <f>IFERROR(VLOOKUP(B935,'Plot Plan'!$A:$B,2,FALSE),"")</f>
      </c>
      <c r="L935" s="11">
        <f>IFERROR(VLOOKUP(B935,'Plot Plan'!$A:$C,3,FALSE),"")</f>
      </c>
    </row>
    <row r="936" spans="1:12" s="8" customFormat="1" x14ac:dyDescent="0.25">
      <c r="A936" s="12"/>
      <c r="B936" s="10"/>
      <c r="C936" s="10"/>
      <c r="D936" s="10"/>
      <c r="E936" s="10"/>
      <c r="F936" s="10">
        <f>IF(AND(D936&lt;&gt;"",E936&lt;&gt;""),((TIMEVALUE(E936)-TIMEVALUE(D936))*24*60),"")</f>
      </c>
      <c r="G936" s="10"/>
      <c r="H936" s="10"/>
      <c r="I936" s="10">
        <f>IF(G936="","Pending",IF(G936&gt;=J936,"Accepted",IF(G936&gt;=(J936-Configuration!$C$5),"Tolerance","Refusal")))</f>
      </c>
      <c r="J936" s="10">
        <f>IFERROR(VLOOKUP(B936,'Plot Plan'!$A:$D,4,FALSE),"")</f>
      </c>
      <c r="K936" s="10">
        <f>IFERROR(VLOOKUP(B936,'Plot Plan'!$A:$B,2,FALSE),"")</f>
      </c>
      <c r="L936" s="10">
        <f>IFERROR(VLOOKUP(B936,'Plot Plan'!$A:$C,3,FALSE),"")</f>
      </c>
    </row>
    <row r="937" spans="1:12" x14ac:dyDescent="0.25">
      <c r="A937" s="13"/>
      <c r="B937" s="11"/>
      <c r="C937" s="11"/>
      <c r="D937" s="11"/>
      <c r="E937" s="11"/>
      <c r="F937" s="11">
        <f>IF(AND(D937&lt;&gt;"",E937&lt;&gt;""),((TIMEVALUE(E937)-TIMEVALUE(D937))*24*60),"")</f>
      </c>
      <c r="G937" s="11"/>
      <c r="H937" s="11"/>
      <c r="I937" s="11">
        <f>IF(G937="","Pending",IF(G937&gt;=J937,"Accepted",IF(G937&gt;=(J937-Configuration!$C$5),"Tolerance","Refusal")))</f>
      </c>
      <c r="J937" s="11">
        <f>IFERROR(VLOOKUP(B937,'Plot Plan'!$A:$D,4,FALSE),"")</f>
      </c>
      <c r="K937" s="11">
        <f>IFERROR(VLOOKUP(B937,'Plot Plan'!$A:$B,2,FALSE),"")</f>
      </c>
      <c r="L937" s="11">
        <f>IFERROR(VLOOKUP(B937,'Plot Plan'!$A:$C,3,FALSE),"")</f>
      </c>
    </row>
    <row r="938" spans="1:12" s="8" customFormat="1" x14ac:dyDescent="0.25">
      <c r="A938" s="12"/>
      <c r="B938" s="10"/>
      <c r="C938" s="10"/>
      <c r="D938" s="10"/>
      <c r="E938" s="10"/>
      <c r="F938" s="10">
        <f>IF(AND(D938&lt;&gt;"",E938&lt;&gt;""),((TIMEVALUE(E938)-TIMEVALUE(D938))*24*60),"")</f>
      </c>
      <c r="G938" s="10"/>
      <c r="H938" s="10"/>
      <c r="I938" s="10">
        <f>IF(G938="","Pending",IF(G938&gt;=J938,"Accepted",IF(G938&gt;=(J938-Configuration!$C$5),"Tolerance","Refusal")))</f>
      </c>
      <c r="J938" s="10">
        <f>IFERROR(VLOOKUP(B938,'Plot Plan'!$A:$D,4,FALSE),"")</f>
      </c>
      <c r="K938" s="10">
        <f>IFERROR(VLOOKUP(B938,'Plot Plan'!$A:$B,2,FALSE),"")</f>
      </c>
      <c r="L938" s="10">
        <f>IFERROR(VLOOKUP(B938,'Plot Plan'!$A:$C,3,FALSE),"")</f>
      </c>
    </row>
    <row r="939" spans="1:12" x14ac:dyDescent="0.25">
      <c r="A939" s="13"/>
      <c r="B939" s="11"/>
      <c r="C939" s="11"/>
      <c r="D939" s="11"/>
      <c r="E939" s="11"/>
      <c r="F939" s="11">
        <f>IF(AND(D939&lt;&gt;"",E939&lt;&gt;""),((TIMEVALUE(E939)-TIMEVALUE(D939))*24*60),"")</f>
      </c>
      <c r="G939" s="11"/>
      <c r="H939" s="11"/>
      <c r="I939" s="11">
        <f>IF(G939="","Pending",IF(G939&gt;=J939,"Accepted",IF(G939&gt;=(J939-Configuration!$C$5),"Tolerance","Refusal")))</f>
      </c>
      <c r="J939" s="11">
        <f>IFERROR(VLOOKUP(B939,'Plot Plan'!$A:$D,4,FALSE),"")</f>
      </c>
      <c r="K939" s="11">
        <f>IFERROR(VLOOKUP(B939,'Plot Plan'!$A:$B,2,FALSE),"")</f>
      </c>
      <c r="L939" s="11">
        <f>IFERROR(VLOOKUP(B939,'Plot Plan'!$A:$C,3,FALSE),"")</f>
      </c>
    </row>
    <row r="940" spans="1:12" s="8" customFormat="1" x14ac:dyDescent="0.25">
      <c r="A940" s="12"/>
      <c r="B940" s="10"/>
      <c r="C940" s="10"/>
      <c r="D940" s="10"/>
      <c r="E940" s="10"/>
      <c r="F940" s="10">
        <f>IF(AND(D940&lt;&gt;"",E940&lt;&gt;""),((TIMEVALUE(E940)-TIMEVALUE(D940))*24*60),"")</f>
      </c>
      <c r="G940" s="10"/>
      <c r="H940" s="10"/>
      <c r="I940" s="10">
        <f>IF(G940="","Pending",IF(G940&gt;=J940,"Accepted",IF(G940&gt;=(J940-Configuration!$C$5),"Tolerance","Refusal")))</f>
      </c>
      <c r="J940" s="10">
        <f>IFERROR(VLOOKUP(B940,'Plot Plan'!$A:$D,4,FALSE),"")</f>
      </c>
      <c r="K940" s="10">
        <f>IFERROR(VLOOKUP(B940,'Plot Plan'!$A:$B,2,FALSE),"")</f>
      </c>
      <c r="L940" s="10">
        <f>IFERROR(VLOOKUP(B940,'Plot Plan'!$A:$C,3,FALSE),"")</f>
      </c>
    </row>
    <row r="941" spans="1:12" x14ac:dyDescent="0.25">
      <c r="A941" s="13"/>
      <c r="B941" s="11"/>
      <c r="C941" s="11"/>
      <c r="D941" s="11"/>
      <c r="E941" s="11"/>
      <c r="F941" s="11">
        <f>IF(AND(D941&lt;&gt;"",E941&lt;&gt;""),((TIMEVALUE(E941)-TIMEVALUE(D941))*24*60),"")</f>
      </c>
      <c r="G941" s="11"/>
      <c r="H941" s="11"/>
      <c r="I941" s="11">
        <f>IF(G941="","Pending",IF(G941&gt;=J941,"Accepted",IF(G941&gt;=(J941-Configuration!$C$5),"Tolerance","Refusal")))</f>
      </c>
      <c r="J941" s="11">
        <f>IFERROR(VLOOKUP(B941,'Plot Plan'!$A:$D,4,FALSE),"")</f>
      </c>
      <c r="K941" s="11">
        <f>IFERROR(VLOOKUP(B941,'Plot Plan'!$A:$B,2,FALSE),"")</f>
      </c>
      <c r="L941" s="11">
        <f>IFERROR(VLOOKUP(B941,'Plot Plan'!$A:$C,3,FALSE),"")</f>
      </c>
    </row>
    <row r="942" spans="1:12" s="8" customFormat="1" x14ac:dyDescent="0.25">
      <c r="A942" s="12"/>
      <c r="B942" s="10"/>
      <c r="C942" s="10"/>
      <c r="D942" s="10"/>
      <c r="E942" s="10"/>
      <c r="F942" s="10">
        <f>IF(AND(D942&lt;&gt;"",E942&lt;&gt;""),((TIMEVALUE(E942)-TIMEVALUE(D942))*24*60),"")</f>
      </c>
      <c r="G942" s="10"/>
      <c r="H942" s="10"/>
      <c r="I942" s="10">
        <f>IF(G942="","Pending",IF(G942&gt;=J942,"Accepted",IF(G942&gt;=(J942-Configuration!$C$5),"Tolerance","Refusal")))</f>
      </c>
      <c r="J942" s="10">
        <f>IFERROR(VLOOKUP(B942,'Plot Plan'!$A:$D,4,FALSE),"")</f>
      </c>
      <c r="K942" s="10">
        <f>IFERROR(VLOOKUP(B942,'Plot Plan'!$A:$B,2,FALSE),"")</f>
      </c>
      <c r="L942" s="10">
        <f>IFERROR(VLOOKUP(B942,'Plot Plan'!$A:$C,3,FALSE),"")</f>
      </c>
    </row>
    <row r="943" spans="1:12" x14ac:dyDescent="0.25">
      <c r="A943" s="13"/>
      <c r="B943" s="11"/>
      <c r="C943" s="11"/>
      <c r="D943" s="11"/>
      <c r="E943" s="11"/>
      <c r="F943" s="11">
        <f>IF(AND(D943&lt;&gt;"",E943&lt;&gt;""),((TIMEVALUE(E943)-TIMEVALUE(D943))*24*60),"")</f>
      </c>
      <c r="G943" s="11"/>
      <c r="H943" s="11"/>
      <c r="I943" s="11">
        <f>IF(G943="","Pending",IF(G943&gt;=J943,"Accepted",IF(G943&gt;=(J943-Configuration!$C$5),"Tolerance","Refusal")))</f>
      </c>
      <c r="J943" s="11">
        <f>IFERROR(VLOOKUP(B943,'Plot Plan'!$A:$D,4,FALSE),"")</f>
      </c>
      <c r="K943" s="11">
        <f>IFERROR(VLOOKUP(B943,'Plot Plan'!$A:$B,2,FALSE),"")</f>
      </c>
      <c r="L943" s="11">
        <f>IFERROR(VLOOKUP(B943,'Plot Plan'!$A:$C,3,FALSE),"")</f>
      </c>
    </row>
    <row r="944" spans="1:12" s="8" customFormat="1" x14ac:dyDescent="0.25">
      <c r="A944" s="12"/>
      <c r="B944" s="10"/>
      <c r="C944" s="10"/>
      <c r="D944" s="10"/>
      <c r="E944" s="10"/>
      <c r="F944" s="10">
        <f>IF(AND(D944&lt;&gt;"",E944&lt;&gt;""),((TIMEVALUE(E944)-TIMEVALUE(D944))*24*60),"")</f>
      </c>
      <c r="G944" s="10"/>
      <c r="H944" s="10"/>
      <c r="I944" s="10">
        <f>IF(G944="","Pending",IF(G944&gt;=J944,"Accepted",IF(G944&gt;=(J944-Configuration!$C$5),"Tolerance","Refusal")))</f>
      </c>
      <c r="J944" s="10">
        <f>IFERROR(VLOOKUP(B944,'Plot Plan'!$A:$D,4,FALSE),"")</f>
      </c>
      <c r="K944" s="10">
        <f>IFERROR(VLOOKUP(B944,'Plot Plan'!$A:$B,2,FALSE),"")</f>
      </c>
      <c r="L944" s="10">
        <f>IFERROR(VLOOKUP(B944,'Plot Plan'!$A:$C,3,FALSE),"")</f>
      </c>
    </row>
    <row r="945" spans="1:12" x14ac:dyDescent="0.25">
      <c r="A945" s="13"/>
      <c r="B945" s="11"/>
      <c r="C945" s="11"/>
      <c r="D945" s="11"/>
      <c r="E945" s="11"/>
      <c r="F945" s="11">
        <f>IF(AND(D945&lt;&gt;"",E945&lt;&gt;""),((TIMEVALUE(E945)-TIMEVALUE(D945))*24*60),"")</f>
      </c>
      <c r="G945" s="11"/>
      <c r="H945" s="11"/>
      <c r="I945" s="11">
        <f>IF(G945="","Pending",IF(G945&gt;=J945,"Accepted",IF(G945&gt;=(J945-Configuration!$C$5),"Tolerance","Refusal")))</f>
      </c>
      <c r="J945" s="11">
        <f>IFERROR(VLOOKUP(B945,'Plot Plan'!$A:$D,4,FALSE),"")</f>
      </c>
      <c r="K945" s="11">
        <f>IFERROR(VLOOKUP(B945,'Plot Plan'!$A:$B,2,FALSE),"")</f>
      </c>
      <c r="L945" s="11">
        <f>IFERROR(VLOOKUP(B945,'Plot Plan'!$A:$C,3,FALSE),"")</f>
      </c>
    </row>
    <row r="946" spans="1:12" s="8" customFormat="1" x14ac:dyDescent="0.25">
      <c r="A946" s="12"/>
      <c r="B946" s="10"/>
      <c r="C946" s="10"/>
      <c r="D946" s="10"/>
      <c r="E946" s="10"/>
      <c r="F946" s="10">
        <f>IF(AND(D946&lt;&gt;"",E946&lt;&gt;""),((TIMEVALUE(E946)-TIMEVALUE(D946))*24*60),"")</f>
      </c>
      <c r="G946" s="10"/>
      <c r="H946" s="10"/>
      <c r="I946" s="10">
        <f>IF(G946="","Pending",IF(G946&gt;=J946,"Accepted",IF(G946&gt;=(J946-Configuration!$C$5),"Tolerance","Refusal")))</f>
      </c>
      <c r="J946" s="10">
        <f>IFERROR(VLOOKUP(B946,'Plot Plan'!$A:$D,4,FALSE),"")</f>
      </c>
      <c r="K946" s="10">
        <f>IFERROR(VLOOKUP(B946,'Plot Plan'!$A:$B,2,FALSE),"")</f>
      </c>
      <c r="L946" s="10">
        <f>IFERROR(VLOOKUP(B946,'Plot Plan'!$A:$C,3,FALSE),"")</f>
      </c>
    </row>
    <row r="947" spans="1:12" x14ac:dyDescent="0.25">
      <c r="A947" s="13"/>
      <c r="B947" s="11"/>
      <c r="C947" s="11"/>
      <c r="D947" s="11"/>
      <c r="E947" s="11"/>
      <c r="F947" s="11">
        <f>IF(AND(D947&lt;&gt;"",E947&lt;&gt;""),((TIMEVALUE(E947)-TIMEVALUE(D947))*24*60),"")</f>
      </c>
      <c r="G947" s="11"/>
      <c r="H947" s="11"/>
      <c r="I947" s="11">
        <f>IF(G947="","Pending",IF(G947&gt;=J947,"Accepted",IF(G947&gt;=(J947-Configuration!$C$5),"Tolerance","Refusal")))</f>
      </c>
      <c r="J947" s="11">
        <f>IFERROR(VLOOKUP(B947,'Plot Plan'!$A:$D,4,FALSE),"")</f>
      </c>
      <c r="K947" s="11">
        <f>IFERROR(VLOOKUP(B947,'Plot Plan'!$A:$B,2,FALSE),"")</f>
      </c>
      <c r="L947" s="11">
        <f>IFERROR(VLOOKUP(B947,'Plot Plan'!$A:$C,3,FALSE),"")</f>
      </c>
    </row>
    <row r="948" spans="1:12" s="8" customFormat="1" x14ac:dyDescent="0.25">
      <c r="A948" s="12"/>
      <c r="B948" s="10"/>
      <c r="C948" s="10"/>
      <c r="D948" s="10"/>
      <c r="E948" s="10"/>
      <c r="F948" s="10">
        <f>IF(AND(D948&lt;&gt;"",E948&lt;&gt;""),((TIMEVALUE(E948)-TIMEVALUE(D948))*24*60),"")</f>
      </c>
      <c r="G948" s="10"/>
      <c r="H948" s="10"/>
      <c r="I948" s="10">
        <f>IF(G948="","Pending",IF(G948&gt;=J948,"Accepted",IF(G948&gt;=(J948-Configuration!$C$5),"Tolerance","Refusal")))</f>
      </c>
      <c r="J948" s="10">
        <f>IFERROR(VLOOKUP(B948,'Plot Plan'!$A:$D,4,FALSE),"")</f>
      </c>
      <c r="K948" s="10">
        <f>IFERROR(VLOOKUP(B948,'Plot Plan'!$A:$B,2,FALSE),"")</f>
      </c>
      <c r="L948" s="10">
        <f>IFERROR(VLOOKUP(B948,'Plot Plan'!$A:$C,3,FALSE),"")</f>
      </c>
    </row>
    <row r="949" spans="1:12" x14ac:dyDescent="0.25">
      <c r="A949" s="13"/>
      <c r="B949" s="11"/>
      <c r="C949" s="11"/>
      <c r="D949" s="11"/>
      <c r="E949" s="11"/>
      <c r="F949" s="11">
        <f>IF(AND(D949&lt;&gt;"",E949&lt;&gt;""),((TIMEVALUE(E949)-TIMEVALUE(D949))*24*60),"")</f>
      </c>
      <c r="G949" s="11"/>
      <c r="H949" s="11"/>
      <c r="I949" s="11">
        <f>IF(G949="","Pending",IF(G949&gt;=J949,"Accepted",IF(G949&gt;=(J949-Configuration!$C$5),"Tolerance","Refusal")))</f>
      </c>
      <c r="J949" s="11">
        <f>IFERROR(VLOOKUP(B949,'Plot Plan'!$A:$D,4,FALSE),"")</f>
      </c>
      <c r="K949" s="11">
        <f>IFERROR(VLOOKUP(B949,'Plot Plan'!$A:$B,2,FALSE),"")</f>
      </c>
      <c r="L949" s="11">
        <f>IFERROR(VLOOKUP(B949,'Plot Plan'!$A:$C,3,FALSE),"")</f>
      </c>
    </row>
    <row r="950" spans="1:12" s="8" customFormat="1" x14ac:dyDescent="0.25">
      <c r="A950" s="12"/>
      <c r="B950" s="10"/>
      <c r="C950" s="10"/>
      <c r="D950" s="10"/>
      <c r="E950" s="10"/>
      <c r="F950" s="10">
        <f>IF(AND(D950&lt;&gt;"",E950&lt;&gt;""),((TIMEVALUE(E950)-TIMEVALUE(D950))*24*60),"")</f>
      </c>
      <c r="G950" s="10"/>
      <c r="H950" s="10"/>
      <c r="I950" s="10">
        <f>IF(G950="","Pending",IF(G950&gt;=J950,"Accepted",IF(G950&gt;=(J950-Configuration!$C$5),"Tolerance","Refusal")))</f>
      </c>
      <c r="J950" s="10">
        <f>IFERROR(VLOOKUP(B950,'Plot Plan'!$A:$D,4,FALSE),"")</f>
      </c>
      <c r="K950" s="10">
        <f>IFERROR(VLOOKUP(B950,'Plot Plan'!$A:$B,2,FALSE),"")</f>
      </c>
      <c r="L950" s="10">
        <f>IFERROR(VLOOKUP(B950,'Plot Plan'!$A:$C,3,FALSE),"")</f>
      </c>
    </row>
    <row r="951" spans="1:12" x14ac:dyDescent="0.25">
      <c r="A951" s="13"/>
      <c r="B951" s="11"/>
      <c r="C951" s="11"/>
      <c r="D951" s="11"/>
      <c r="E951" s="11"/>
      <c r="F951" s="11">
        <f>IF(AND(D951&lt;&gt;"",E951&lt;&gt;""),((TIMEVALUE(E951)-TIMEVALUE(D951))*24*60),"")</f>
      </c>
      <c r="G951" s="11"/>
      <c r="H951" s="11"/>
      <c r="I951" s="11">
        <f>IF(G951="","Pending",IF(G951&gt;=J951,"Accepted",IF(G951&gt;=(J951-Configuration!$C$5),"Tolerance","Refusal")))</f>
      </c>
      <c r="J951" s="11">
        <f>IFERROR(VLOOKUP(B951,'Plot Plan'!$A:$D,4,FALSE),"")</f>
      </c>
      <c r="K951" s="11">
        <f>IFERROR(VLOOKUP(B951,'Plot Plan'!$A:$B,2,FALSE),"")</f>
      </c>
      <c r="L951" s="11">
        <f>IFERROR(VLOOKUP(B951,'Plot Plan'!$A:$C,3,FALSE),"")</f>
      </c>
    </row>
    <row r="952" spans="1:12" s="8" customFormat="1" x14ac:dyDescent="0.25">
      <c r="A952" s="12"/>
      <c r="B952" s="10"/>
      <c r="C952" s="10"/>
      <c r="D952" s="10"/>
      <c r="E952" s="10"/>
      <c r="F952" s="10">
        <f>IF(AND(D952&lt;&gt;"",E952&lt;&gt;""),((TIMEVALUE(E952)-TIMEVALUE(D952))*24*60),"")</f>
      </c>
      <c r="G952" s="10"/>
      <c r="H952" s="10"/>
      <c r="I952" s="10">
        <f>IF(G952="","Pending",IF(G952&gt;=J952,"Accepted",IF(G952&gt;=(J952-Configuration!$C$5),"Tolerance","Refusal")))</f>
      </c>
      <c r="J952" s="10">
        <f>IFERROR(VLOOKUP(B952,'Plot Plan'!$A:$D,4,FALSE),"")</f>
      </c>
      <c r="K952" s="10">
        <f>IFERROR(VLOOKUP(B952,'Plot Plan'!$A:$B,2,FALSE),"")</f>
      </c>
      <c r="L952" s="10">
        <f>IFERROR(VLOOKUP(B952,'Plot Plan'!$A:$C,3,FALSE),"")</f>
      </c>
    </row>
    <row r="953" spans="1:12" x14ac:dyDescent="0.25">
      <c r="A953" s="13"/>
      <c r="B953" s="11"/>
      <c r="C953" s="11"/>
      <c r="D953" s="11"/>
      <c r="E953" s="11"/>
      <c r="F953" s="11">
        <f>IF(AND(D953&lt;&gt;"",E953&lt;&gt;""),((TIMEVALUE(E953)-TIMEVALUE(D953))*24*60),"")</f>
      </c>
      <c r="G953" s="11"/>
      <c r="H953" s="11"/>
      <c r="I953" s="11">
        <f>IF(G953="","Pending",IF(G953&gt;=J953,"Accepted",IF(G953&gt;=(J953-Configuration!$C$5),"Tolerance","Refusal")))</f>
      </c>
      <c r="J953" s="11">
        <f>IFERROR(VLOOKUP(B953,'Plot Plan'!$A:$D,4,FALSE),"")</f>
      </c>
      <c r="K953" s="11">
        <f>IFERROR(VLOOKUP(B953,'Plot Plan'!$A:$B,2,FALSE),"")</f>
      </c>
      <c r="L953" s="11">
        <f>IFERROR(VLOOKUP(B953,'Plot Plan'!$A:$C,3,FALSE),"")</f>
      </c>
    </row>
    <row r="954" spans="1:12" s="8" customFormat="1" x14ac:dyDescent="0.25">
      <c r="A954" s="12"/>
      <c r="B954" s="10"/>
      <c r="C954" s="10"/>
      <c r="D954" s="10"/>
      <c r="E954" s="10"/>
      <c r="F954" s="10">
        <f>IF(AND(D954&lt;&gt;"",E954&lt;&gt;""),((TIMEVALUE(E954)-TIMEVALUE(D954))*24*60),"")</f>
      </c>
      <c r="G954" s="10"/>
      <c r="H954" s="10"/>
      <c r="I954" s="10">
        <f>IF(G954="","Pending",IF(G954&gt;=J954,"Accepted",IF(G954&gt;=(J954-Configuration!$C$5),"Tolerance","Refusal")))</f>
      </c>
      <c r="J954" s="10">
        <f>IFERROR(VLOOKUP(B954,'Plot Plan'!$A:$D,4,FALSE),"")</f>
      </c>
      <c r="K954" s="10">
        <f>IFERROR(VLOOKUP(B954,'Plot Plan'!$A:$B,2,FALSE),"")</f>
      </c>
      <c r="L954" s="10">
        <f>IFERROR(VLOOKUP(B954,'Plot Plan'!$A:$C,3,FALSE),"")</f>
      </c>
    </row>
    <row r="955" spans="1:12" x14ac:dyDescent="0.25">
      <c r="A955" s="13"/>
      <c r="B955" s="11"/>
      <c r="C955" s="11"/>
      <c r="D955" s="11"/>
      <c r="E955" s="11"/>
      <c r="F955" s="11">
        <f>IF(AND(D955&lt;&gt;"",E955&lt;&gt;""),((TIMEVALUE(E955)-TIMEVALUE(D955))*24*60),"")</f>
      </c>
      <c r="G955" s="11"/>
      <c r="H955" s="11"/>
      <c r="I955" s="11">
        <f>IF(G955="","Pending",IF(G955&gt;=J955,"Accepted",IF(G955&gt;=(J955-Configuration!$C$5),"Tolerance","Refusal")))</f>
      </c>
      <c r="J955" s="11">
        <f>IFERROR(VLOOKUP(B955,'Plot Plan'!$A:$D,4,FALSE),"")</f>
      </c>
      <c r="K955" s="11">
        <f>IFERROR(VLOOKUP(B955,'Plot Plan'!$A:$B,2,FALSE),"")</f>
      </c>
      <c r="L955" s="11">
        <f>IFERROR(VLOOKUP(B955,'Plot Plan'!$A:$C,3,FALSE),"")</f>
      </c>
    </row>
    <row r="956" spans="1:12" s="8" customFormat="1" x14ac:dyDescent="0.25">
      <c r="A956" s="12"/>
      <c r="B956" s="10"/>
      <c r="C956" s="10"/>
      <c r="D956" s="10"/>
      <c r="E956" s="10"/>
      <c r="F956" s="10">
        <f>IF(AND(D956&lt;&gt;"",E956&lt;&gt;""),((TIMEVALUE(E956)-TIMEVALUE(D956))*24*60),"")</f>
      </c>
      <c r="G956" s="10"/>
      <c r="H956" s="10"/>
      <c r="I956" s="10">
        <f>IF(G956="","Pending",IF(G956&gt;=J956,"Accepted",IF(G956&gt;=(J956-Configuration!$C$5),"Tolerance","Refusal")))</f>
      </c>
      <c r="J956" s="10">
        <f>IFERROR(VLOOKUP(B956,'Plot Plan'!$A:$D,4,FALSE),"")</f>
      </c>
      <c r="K956" s="10">
        <f>IFERROR(VLOOKUP(B956,'Plot Plan'!$A:$B,2,FALSE),"")</f>
      </c>
      <c r="L956" s="10">
        <f>IFERROR(VLOOKUP(B956,'Plot Plan'!$A:$C,3,FALSE),"")</f>
      </c>
    </row>
    <row r="957" spans="1:12" x14ac:dyDescent="0.25">
      <c r="A957" s="13"/>
      <c r="B957" s="11"/>
      <c r="C957" s="11"/>
      <c r="D957" s="11"/>
      <c r="E957" s="11"/>
      <c r="F957" s="11">
        <f>IF(AND(D957&lt;&gt;"",E957&lt;&gt;""),((TIMEVALUE(E957)-TIMEVALUE(D957))*24*60),"")</f>
      </c>
      <c r="G957" s="11"/>
      <c r="H957" s="11"/>
      <c r="I957" s="11">
        <f>IF(G957="","Pending",IF(G957&gt;=J957,"Accepted",IF(G957&gt;=(J957-Configuration!$C$5),"Tolerance","Refusal")))</f>
      </c>
      <c r="J957" s="11">
        <f>IFERROR(VLOOKUP(B957,'Plot Plan'!$A:$D,4,FALSE),"")</f>
      </c>
      <c r="K957" s="11">
        <f>IFERROR(VLOOKUP(B957,'Plot Plan'!$A:$B,2,FALSE),"")</f>
      </c>
      <c r="L957" s="11">
        <f>IFERROR(VLOOKUP(B957,'Plot Plan'!$A:$C,3,FALSE),"")</f>
      </c>
    </row>
    <row r="958" spans="1:12" s="8" customFormat="1" x14ac:dyDescent="0.25">
      <c r="A958" s="12"/>
      <c r="B958" s="10"/>
      <c r="C958" s="10"/>
      <c r="D958" s="10"/>
      <c r="E958" s="10"/>
      <c r="F958" s="10">
        <f>IF(AND(D958&lt;&gt;"",E958&lt;&gt;""),((TIMEVALUE(E958)-TIMEVALUE(D958))*24*60),"")</f>
      </c>
      <c r="G958" s="10"/>
      <c r="H958" s="10"/>
      <c r="I958" s="10">
        <f>IF(G958="","Pending",IF(G958&gt;=J958,"Accepted",IF(G958&gt;=(J958-Configuration!$C$5),"Tolerance","Refusal")))</f>
      </c>
      <c r="J958" s="10">
        <f>IFERROR(VLOOKUP(B958,'Plot Plan'!$A:$D,4,FALSE),"")</f>
      </c>
      <c r="K958" s="10">
        <f>IFERROR(VLOOKUP(B958,'Plot Plan'!$A:$B,2,FALSE),"")</f>
      </c>
      <c r="L958" s="10">
        <f>IFERROR(VLOOKUP(B958,'Plot Plan'!$A:$C,3,FALSE),"")</f>
      </c>
    </row>
    <row r="959" spans="1:12" x14ac:dyDescent="0.25">
      <c r="A959" s="13"/>
      <c r="B959" s="11"/>
      <c r="C959" s="11"/>
      <c r="D959" s="11"/>
      <c r="E959" s="11"/>
      <c r="F959" s="11">
        <f>IF(AND(D959&lt;&gt;"",E959&lt;&gt;""),((TIMEVALUE(E959)-TIMEVALUE(D959))*24*60),"")</f>
      </c>
      <c r="G959" s="11"/>
      <c r="H959" s="11"/>
      <c r="I959" s="11">
        <f>IF(G959="","Pending",IF(G959&gt;=J959,"Accepted",IF(G959&gt;=(J959-Configuration!$C$5),"Tolerance","Refusal")))</f>
      </c>
      <c r="J959" s="11">
        <f>IFERROR(VLOOKUP(B959,'Plot Plan'!$A:$D,4,FALSE),"")</f>
      </c>
      <c r="K959" s="11">
        <f>IFERROR(VLOOKUP(B959,'Plot Plan'!$A:$B,2,FALSE),"")</f>
      </c>
      <c r="L959" s="11">
        <f>IFERROR(VLOOKUP(B959,'Plot Plan'!$A:$C,3,FALSE),"")</f>
      </c>
    </row>
    <row r="960" spans="1:12" s="8" customFormat="1" x14ac:dyDescent="0.25">
      <c r="A960" s="12"/>
      <c r="B960" s="10"/>
      <c r="C960" s="10"/>
      <c r="D960" s="10"/>
      <c r="E960" s="10"/>
      <c r="F960" s="10">
        <f>IF(AND(D960&lt;&gt;"",E960&lt;&gt;""),((TIMEVALUE(E960)-TIMEVALUE(D960))*24*60),"")</f>
      </c>
      <c r="G960" s="10"/>
      <c r="H960" s="10"/>
      <c r="I960" s="10">
        <f>IF(G960="","Pending",IF(G960&gt;=J960,"Accepted",IF(G960&gt;=(J960-Configuration!$C$5),"Tolerance","Refusal")))</f>
      </c>
      <c r="J960" s="10">
        <f>IFERROR(VLOOKUP(B960,'Plot Plan'!$A:$D,4,FALSE),"")</f>
      </c>
      <c r="K960" s="10">
        <f>IFERROR(VLOOKUP(B960,'Plot Plan'!$A:$B,2,FALSE),"")</f>
      </c>
      <c r="L960" s="10">
        <f>IFERROR(VLOOKUP(B960,'Plot Plan'!$A:$C,3,FALSE),"")</f>
      </c>
    </row>
    <row r="961" spans="1:12" x14ac:dyDescent="0.25">
      <c r="A961" s="13"/>
      <c r="B961" s="11"/>
      <c r="C961" s="11"/>
      <c r="D961" s="11"/>
      <c r="E961" s="11"/>
      <c r="F961" s="11">
        <f>IF(AND(D961&lt;&gt;"",E961&lt;&gt;""),((TIMEVALUE(E961)-TIMEVALUE(D961))*24*60),"")</f>
      </c>
      <c r="G961" s="11"/>
      <c r="H961" s="11"/>
      <c r="I961" s="11">
        <f>IF(G961="","Pending",IF(G961&gt;=J961,"Accepted",IF(G961&gt;=(J961-Configuration!$C$5),"Tolerance","Refusal")))</f>
      </c>
      <c r="J961" s="11">
        <f>IFERROR(VLOOKUP(B961,'Plot Plan'!$A:$D,4,FALSE),"")</f>
      </c>
      <c r="K961" s="11">
        <f>IFERROR(VLOOKUP(B961,'Plot Plan'!$A:$B,2,FALSE),"")</f>
      </c>
      <c r="L961" s="11">
        <f>IFERROR(VLOOKUP(B961,'Plot Plan'!$A:$C,3,FALSE),"")</f>
      </c>
    </row>
    <row r="962" spans="1:12" s="8" customFormat="1" x14ac:dyDescent="0.25">
      <c r="A962" s="12"/>
      <c r="B962" s="10"/>
      <c r="C962" s="10"/>
      <c r="D962" s="10"/>
      <c r="E962" s="10"/>
      <c r="F962" s="10">
        <f>IF(AND(D962&lt;&gt;"",E962&lt;&gt;""),((TIMEVALUE(E962)-TIMEVALUE(D962))*24*60),"")</f>
      </c>
      <c r="G962" s="10"/>
      <c r="H962" s="10"/>
      <c r="I962" s="10">
        <f>IF(G962="","Pending",IF(G962&gt;=J962,"Accepted",IF(G962&gt;=(J962-Configuration!$C$5),"Tolerance","Refusal")))</f>
      </c>
      <c r="J962" s="10">
        <f>IFERROR(VLOOKUP(B962,'Plot Plan'!$A:$D,4,FALSE),"")</f>
      </c>
      <c r="K962" s="10">
        <f>IFERROR(VLOOKUP(B962,'Plot Plan'!$A:$B,2,FALSE),"")</f>
      </c>
      <c r="L962" s="10">
        <f>IFERROR(VLOOKUP(B962,'Plot Plan'!$A:$C,3,FALSE),"")</f>
      </c>
    </row>
    <row r="963" spans="1:12" x14ac:dyDescent="0.25">
      <c r="A963" s="13"/>
      <c r="B963" s="11"/>
      <c r="C963" s="11"/>
      <c r="D963" s="11"/>
      <c r="E963" s="11"/>
      <c r="F963" s="11">
        <f>IF(AND(D963&lt;&gt;"",E963&lt;&gt;""),((TIMEVALUE(E963)-TIMEVALUE(D963))*24*60),"")</f>
      </c>
      <c r="G963" s="11"/>
      <c r="H963" s="11"/>
      <c r="I963" s="11">
        <f>IF(G963="","Pending",IF(G963&gt;=J963,"Accepted",IF(G963&gt;=(J963-Configuration!$C$5),"Tolerance","Refusal")))</f>
      </c>
      <c r="J963" s="11">
        <f>IFERROR(VLOOKUP(B963,'Plot Plan'!$A:$D,4,FALSE),"")</f>
      </c>
      <c r="K963" s="11">
        <f>IFERROR(VLOOKUP(B963,'Plot Plan'!$A:$B,2,FALSE),"")</f>
      </c>
      <c r="L963" s="11">
        <f>IFERROR(VLOOKUP(B963,'Plot Plan'!$A:$C,3,FALSE),"")</f>
      </c>
    </row>
    <row r="964" spans="1:12" s="8" customFormat="1" x14ac:dyDescent="0.25">
      <c r="A964" s="12"/>
      <c r="B964" s="10"/>
      <c r="C964" s="10"/>
      <c r="D964" s="10"/>
      <c r="E964" s="10"/>
      <c r="F964" s="10">
        <f>IF(AND(D964&lt;&gt;"",E964&lt;&gt;""),((TIMEVALUE(E964)-TIMEVALUE(D964))*24*60),"")</f>
      </c>
      <c r="G964" s="10"/>
      <c r="H964" s="10"/>
      <c r="I964" s="10">
        <f>IF(G964="","Pending",IF(G964&gt;=J964,"Accepted",IF(G964&gt;=(J964-Configuration!$C$5),"Tolerance","Refusal")))</f>
      </c>
      <c r="J964" s="10">
        <f>IFERROR(VLOOKUP(B964,'Plot Plan'!$A:$D,4,FALSE),"")</f>
      </c>
      <c r="K964" s="10">
        <f>IFERROR(VLOOKUP(B964,'Plot Plan'!$A:$B,2,FALSE),"")</f>
      </c>
      <c r="L964" s="10">
        <f>IFERROR(VLOOKUP(B964,'Plot Plan'!$A:$C,3,FALSE),"")</f>
      </c>
    </row>
    <row r="965" spans="1:12" x14ac:dyDescent="0.25">
      <c r="A965" s="13"/>
      <c r="B965" s="11"/>
      <c r="C965" s="11"/>
      <c r="D965" s="11"/>
      <c r="E965" s="11"/>
      <c r="F965" s="11">
        <f>IF(AND(D965&lt;&gt;"",E965&lt;&gt;""),((TIMEVALUE(E965)-TIMEVALUE(D965))*24*60),"")</f>
      </c>
      <c r="G965" s="11"/>
      <c r="H965" s="11"/>
      <c r="I965" s="11">
        <f>IF(G965="","Pending",IF(G965&gt;=J965,"Accepted",IF(G965&gt;=(J965-Configuration!$C$5),"Tolerance","Refusal")))</f>
      </c>
      <c r="J965" s="11">
        <f>IFERROR(VLOOKUP(B965,'Plot Plan'!$A:$D,4,FALSE),"")</f>
      </c>
      <c r="K965" s="11">
        <f>IFERROR(VLOOKUP(B965,'Plot Plan'!$A:$B,2,FALSE),"")</f>
      </c>
      <c r="L965" s="11">
        <f>IFERROR(VLOOKUP(B965,'Plot Plan'!$A:$C,3,FALSE),"")</f>
      </c>
    </row>
    <row r="966" spans="1:12" s="8" customFormat="1" x14ac:dyDescent="0.25">
      <c r="A966" s="12"/>
      <c r="B966" s="10"/>
      <c r="C966" s="10"/>
      <c r="D966" s="10"/>
      <c r="E966" s="10"/>
      <c r="F966" s="10">
        <f>IF(AND(D966&lt;&gt;"",E966&lt;&gt;""),((TIMEVALUE(E966)-TIMEVALUE(D966))*24*60),"")</f>
      </c>
      <c r="G966" s="10"/>
      <c r="H966" s="10"/>
      <c r="I966" s="10">
        <f>IF(G966="","Pending",IF(G966&gt;=J966,"Accepted",IF(G966&gt;=(J966-Configuration!$C$5),"Tolerance","Refusal")))</f>
      </c>
      <c r="J966" s="10">
        <f>IFERROR(VLOOKUP(B966,'Plot Plan'!$A:$D,4,FALSE),"")</f>
      </c>
      <c r="K966" s="10">
        <f>IFERROR(VLOOKUP(B966,'Plot Plan'!$A:$B,2,FALSE),"")</f>
      </c>
      <c r="L966" s="10">
        <f>IFERROR(VLOOKUP(B966,'Plot Plan'!$A:$C,3,FALSE),"")</f>
      </c>
    </row>
    <row r="967" spans="1:12" x14ac:dyDescent="0.25">
      <c r="A967" s="13"/>
      <c r="B967" s="11"/>
      <c r="C967" s="11"/>
      <c r="D967" s="11"/>
      <c r="E967" s="11"/>
      <c r="F967" s="11">
        <f>IF(AND(D967&lt;&gt;"",E967&lt;&gt;""),((TIMEVALUE(E967)-TIMEVALUE(D967))*24*60),"")</f>
      </c>
      <c r="G967" s="11"/>
      <c r="H967" s="11"/>
      <c r="I967" s="11">
        <f>IF(G967="","Pending",IF(G967&gt;=J967,"Accepted",IF(G967&gt;=(J967-Configuration!$C$5),"Tolerance","Refusal")))</f>
      </c>
      <c r="J967" s="11">
        <f>IFERROR(VLOOKUP(B967,'Plot Plan'!$A:$D,4,FALSE),"")</f>
      </c>
      <c r="K967" s="11">
        <f>IFERROR(VLOOKUP(B967,'Plot Plan'!$A:$B,2,FALSE),"")</f>
      </c>
      <c r="L967" s="11">
        <f>IFERROR(VLOOKUP(B967,'Plot Plan'!$A:$C,3,FALSE),"")</f>
      </c>
    </row>
    <row r="968" spans="1:12" s="8" customFormat="1" x14ac:dyDescent="0.25">
      <c r="A968" s="12"/>
      <c r="B968" s="10"/>
      <c r="C968" s="10"/>
      <c r="D968" s="10"/>
      <c r="E968" s="10"/>
      <c r="F968" s="10">
        <f>IF(AND(D968&lt;&gt;"",E968&lt;&gt;""),((TIMEVALUE(E968)-TIMEVALUE(D968))*24*60),"")</f>
      </c>
      <c r="G968" s="10"/>
      <c r="H968" s="10"/>
      <c r="I968" s="10">
        <f>IF(G968="","Pending",IF(G968&gt;=J968,"Accepted",IF(G968&gt;=(J968-Configuration!$C$5),"Tolerance","Refusal")))</f>
      </c>
      <c r="J968" s="10">
        <f>IFERROR(VLOOKUP(B968,'Plot Plan'!$A:$D,4,FALSE),"")</f>
      </c>
      <c r="K968" s="10">
        <f>IFERROR(VLOOKUP(B968,'Plot Plan'!$A:$B,2,FALSE),"")</f>
      </c>
      <c r="L968" s="10">
        <f>IFERROR(VLOOKUP(B968,'Plot Plan'!$A:$C,3,FALSE),"")</f>
      </c>
    </row>
    <row r="969" spans="1:12" x14ac:dyDescent="0.25">
      <c r="A969" s="13"/>
      <c r="B969" s="11"/>
      <c r="C969" s="11"/>
      <c r="D969" s="11"/>
      <c r="E969" s="11"/>
      <c r="F969" s="11">
        <f>IF(AND(D969&lt;&gt;"",E969&lt;&gt;""),((TIMEVALUE(E969)-TIMEVALUE(D969))*24*60),"")</f>
      </c>
      <c r="G969" s="11"/>
      <c r="H969" s="11"/>
      <c r="I969" s="11">
        <f>IF(G969="","Pending",IF(G969&gt;=J969,"Accepted",IF(G969&gt;=(J969-Configuration!$C$5),"Tolerance","Refusal")))</f>
      </c>
      <c r="J969" s="11">
        <f>IFERROR(VLOOKUP(B969,'Plot Plan'!$A:$D,4,FALSE),"")</f>
      </c>
      <c r="K969" s="11">
        <f>IFERROR(VLOOKUP(B969,'Plot Plan'!$A:$B,2,FALSE),"")</f>
      </c>
      <c r="L969" s="11">
        <f>IFERROR(VLOOKUP(B969,'Plot Plan'!$A:$C,3,FALSE),"")</f>
      </c>
    </row>
    <row r="970" spans="1:12" s="8" customFormat="1" x14ac:dyDescent="0.25">
      <c r="A970" s="12"/>
      <c r="B970" s="10"/>
      <c r="C970" s="10"/>
      <c r="D970" s="10"/>
      <c r="E970" s="10"/>
      <c r="F970" s="10">
        <f>IF(AND(D970&lt;&gt;"",E970&lt;&gt;""),((TIMEVALUE(E970)-TIMEVALUE(D970))*24*60),"")</f>
      </c>
      <c r="G970" s="10"/>
      <c r="H970" s="10"/>
      <c r="I970" s="10">
        <f>IF(G970="","Pending",IF(G970&gt;=J970,"Accepted",IF(G970&gt;=(J970-Configuration!$C$5),"Tolerance","Refusal")))</f>
      </c>
      <c r="J970" s="10">
        <f>IFERROR(VLOOKUP(B970,'Plot Plan'!$A:$D,4,FALSE),"")</f>
      </c>
      <c r="K970" s="10">
        <f>IFERROR(VLOOKUP(B970,'Plot Plan'!$A:$B,2,FALSE),"")</f>
      </c>
      <c r="L970" s="10">
        <f>IFERROR(VLOOKUP(B970,'Plot Plan'!$A:$C,3,FALSE),"")</f>
      </c>
    </row>
    <row r="971" spans="1:12" x14ac:dyDescent="0.25">
      <c r="A971" s="13"/>
      <c r="B971" s="11"/>
      <c r="C971" s="11"/>
      <c r="D971" s="11"/>
      <c r="E971" s="11"/>
      <c r="F971" s="11">
        <f>IF(AND(D971&lt;&gt;"",E971&lt;&gt;""),((TIMEVALUE(E971)-TIMEVALUE(D971))*24*60),"")</f>
      </c>
      <c r="G971" s="11"/>
      <c r="H971" s="11"/>
      <c r="I971" s="11">
        <f>IF(G971="","Pending",IF(G971&gt;=J971,"Accepted",IF(G971&gt;=(J971-Configuration!$C$5),"Tolerance","Refusal")))</f>
      </c>
      <c r="J971" s="11">
        <f>IFERROR(VLOOKUP(B971,'Plot Plan'!$A:$D,4,FALSE),"")</f>
      </c>
      <c r="K971" s="11">
        <f>IFERROR(VLOOKUP(B971,'Plot Plan'!$A:$B,2,FALSE),"")</f>
      </c>
      <c r="L971" s="11">
        <f>IFERROR(VLOOKUP(B971,'Plot Plan'!$A:$C,3,FALSE),"")</f>
      </c>
    </row>
    <row r="972" spans="1:12" s="8" customFormat="1" x14ac:dyDescent="0.25">
      <c r="A972" s="12"/>
      <c r="B972" s="10"/>
      <c r="C972" s="10"/>
      <c r="D972" s="10"/>
      <c r="E972" s="10"/>
      <c r="F972" s="10">
        <f>IF(AND(D972&lt;&gt;"",E972&lt;&gt;""),((TIMEVALUE(E972)-TIMEVALUE(D972))*24*60),"")</f>
      </c>
      <c r="G972" s="10"/>
      <c r="H972" s="10"/>
      <c r="I972" s="10">
        <f>IF(G972="","Pending",IF(G972&gt;=J972,"Accepted",IF(G972&gt;=(J972-Configuration!$C$5),"Tolerance","Refusal")))</f>
      </c>
      <c r="J972" s="10">
        <f>IFERROR(VLOOKUP(B972,'Plot Plan'!$A:$D,4,FALSE),"")</f>
      </c>
      <c r="K972" s="10">
        <f>IFERROR(VLOOKUP(B972,'Plot Plan'!$A:$B,2,FALSE),"")</f>
      </c>
      <c r="L972" s="10">
        <f>IFERROR(VLOOKUP(B972,'Plot Plan'!$A:$C,3,FALSE),"")</f>
      </c>
    </row>
    <row r="973" spans="1:12" x14ac:dyDescent="0.25">
      <c r="A973" s="13"/>
      <c r="B973" s="11"/>
      <c r="C973" s="11"/>
      <c r="D973" s="11"/>
      <c r="E973" s="11"/>
      <c r="F973" s="11">
        <f>IF(AND(D973&lt;&gt;"",E973&lt;&gt;""),((TIMEVALUE(E973)-TIMEVALUE(D973))*24*60),"")</f>
      </c>
      <c r="G973" s="11"/>
      <c r="H973" s="11"/>
      <c r="I973" s="11">
        <f>IF(G973="","Pending",IF(G973&gt;=J973,"Accepted",IF(G973&gt;=(J973-Configuration!$C$5),"Tolerance","Refusal")))</f>
      </c>
      <c r="J973" s="11">
        <f>IFERROR(VLOOKUP(B973,'Plot Plan'!$A:$D,4,FALSE),"")</f>
      </c>
      <c r="K973" s="11">
        <f>IFERROR(VLOOKUP(B973,'Plot Plan'!$A:$B,2,FALSE),"")</f>
      </c>
      <c r="L973" s="11">
        <f>IFERROR(VLOOKUP(B973,'Plot Plan'!$A:$C,3,FALSE),"")</f>
      </c>
    </row>
    <row r="974" spans="1:12" s="8" customFormat="1" x14ac:dyDescent="0.25">
      <c r="A974" s="12"/>
      <c r="B974" s="10"/>
      <c r="C974" s="10"/>
      <c r="D974" s="10"/>
      <c r="E974" s="10"/>
      <c r="F974" s="10">
        <f>IF(AND(D974&lt;&gt;"",E974&lt;&gt;""),((TIMEVALUE(E974)-TIMEVALUE(D974))*24*60),"")</f>
      </c>
      <c r="G974" s="10"/>
      <c r="H974" s="10"/>
      <c r="I974" s="10">
        <f>IF(G974="","Pending",IF(G974&gt;=J974,"Accepted",IF(G974&gt;=(J974-Configuration!$C$5),"Tolerance","Refusal")))</f>
      </c>
      <c r="J974" s="10">
        <f>IFERROR(VLOOKUP(B974,'Plot Plan'!$A:$D,4,FALSE),"")</f>
      </c>
      <c r="K974" s="10">
        <f>IFERROR(VLOOKUP(B974,'Plot Plan'!$A:$B,2,FALSE),"")</f>
      </c>
      <c r="L974" s="10">
        <f>IFERROR(VLOOKUP(B974,'Plot Plan'!$A:$C,3,FALSE),"")</f>
      </c>
    </row>
    <row r="975" spans="1:12" x14ac:dyDescent="0.25">
      <c r="A975" s="13"/>
      <c r="B975" s="11"/>
      <c r="C975" s="11"/>
      <c r="D975" s="11"/>
      <c r="E975" s="11"/>
      <c r="F975" s="11">
        <f>IF(AND(D975&lt;&gt;"",E975&lt;&gt;""),((TIMEVALUE(E975)-TIMEVALUE(D975))*24*60),"")</f>
      </c>
      <c r="G975" s="11"/>
      <c r="H975" s="11"/>
      <c r="I975" s="11">
        <f>IF(G975="","Pending",IF(G975&gt;=J975,"Accepted",IF(G975&gt;=(J975-Configuration!$C$5),"Tolerance","Refusal")))</f>
      </c>
      <c r="J975" s="11">
        <f>IFERROR(VLOOKUP(B975,'Plot Plan'!$A:$D,4,FALSE),"")</f>
      </c>
      <c r="K975" s="11">
        <f>IFERROR(VLOOKUP(B975,'Plot Plan'!$A:$B,2,FALSE),"")</f>
      </c>
      <c r="L975" s="11">
        <f>IFERROR(VLOOKUP(B975,'Plot Plan'!$A:$C,3,FALSE),"")</f>
      </c>
    </row>
    <row r="976" spans="1:12" s="8" customFormat="1" x14ac:dyDescent="0.25">
      <c r="A976" s="12"/>
      <c r="B976" s="10"/>
      <c r="C976" s="10"/>
      <c r="D976" s="10"/>
      <c r="E976" s="10"/>
      <c r="F976" s="10">
        <f>IF(AND(D976&lt;&gt;"",E976&lt;&gt;""),((TIMEVALUE(E976)-TIMEVALUE(D976))*24*60),"")</f>
      </c>
      <c r="G976" s="10"/>
      <c r="H976" s="10"/>
      <c r="I976" s="10">
        <f>IF(G976="","Pending",IF(G976&gt;=J976,"Accepted",IF(G976&gt;=(J976-Configuration!$C$5),"Tolerance","Refusal")))</f>
      </c>
      <c r="J976" s="10">
        <f>IFERROR(VLOOKUP(B976,'Plot Plan'!$A:$D,4,FALSE),"")</f>
      </c>
      <c r="K976" s="10">
        <f>IFERROR(VLOOKUP(B976,'Plot Plan'!$A:$B,2,FALSE),"")</f>
      </c>
      <c r="L976" s="10">
        <f>IFERROR(VLOOKUP(B976,'Plot Plan'!$A:$C,3,FALSE),"")</f>
      </c>
    </row>
    <row r="977" spans="1:12" x14ac:dyDescent="0.25">
      <c r="A977" s="13"/>
      <c r="B977" s="11"/>
      <c r="C977" s="11"/>
      <c r="D977" s="11"/>
      <c r="E977" s="11"/>
      <c r="F977" s="11">
        <f>IF(AND(D977&lt;&gt;"",E977&lt;&gt;""),((TIMEVALUE(E977)-TIMEVALUE(D977))*24*60),"")</f>
      </c>
      <c r="G977" s="11"/>
      <c r="H977" s="11"/>
      <c r="I977" s="11">
        <f>IF(G977="","Pending",IF(G977&gt;=J977,"Accepted",IF(G977&gt;=(J977-Configuration!$C$5),"Tolerance","Refusal")))</f>
      </c>
      <c r="J977" s="11">
        <f>IFERROR(VLOOKUP(B977,'Plot Plan'!$A:$D,4,FALSE),"")</f>
      </c>
      <c r="K977" s="11">
        <f>IFERROR(VLOOKUP(B977,'Plot Plan'!$A:$B,2,FALSE),"")</f>
      </c>
      <c r="L977" s="11">
        <f>IFERROR(VLOOKUP(B977,'Plot Plan'!$A:$C,3,FALSE),"")</f>
      </c>
    </row>
    <row r="978" spans="1:12" s="8" customFormat="1" x14ac:dyDescent="0.25">
      <c r="A978" s="12"/>
      <c r="B978" s="10"/>
      <c r="C978" s="10"/>
      <c r="D978" s="10"/>
      <c r="E978" s="10"/>
      <c r="F978" s="10">
        <f>IF(AND(D978&lt;&gt;"",E978&lt;&gt;""),((TIMEVALUE(E978)-TIMEVALUE(D978))*24*60),"")</f>
      </c>
      <c r="G978" s="10"/>
      <c r="H978" s="10"/>
      <c r="I978" s="10">
        <f>IF(G978="","Pending",IF(G978&gt;=J978,"Accepted",IF(G978&gt;=(J978-Configuration!$C$5),"Tolerance","Refusal")))</f>
      </c>
      <c r="J978" s="10">
        <f>IFERROR(VLOOKUP(B978,'Plot Plan'!$A:$D,4,FALSE),"")</f>
      </c>
      <c r="K978" s="10">
        <f>IFERROR(VLOOKUP(B978,'Plot Plan'!$A:$B,2,FALSE),"")</f>
      </c>
      <c r="L978" s="10">
        <f>IFERROR(VLOOKUP(B978,'Plot Plan'!$A:$C,3,FALSE),"")</f>
      </c>
    </row>
    <row r="979" spans="1:12" x14ac:dyDescent="0.25">
      <c r="A979" s="13"/>
      <c r="B979" s="11"/>
      <c r="C979" s="11"/>
      <c r="D979" s="11"/>
      <c r="E979" s="11"/>
      <c r="F979" s="11">
        <f>IF(AND(D979&lt;&gt;"",E979&lt;&gt;""),((TIMEVALUE(E979)-TIMEVALUE(D979))*24*60),"")</f>
      </c>
      <c r="G979" s="11"/>
      <c r="H979" s="11"/>
      <c r="I979" s="11">
        <f>IF(G979="","Pending",IF(G979&gt;=J979,"Accepted",IF(G979&gt;=(J979-Configuration!$C$5),"Tolerance","Refusal")))</f>
      </c>
      <c r="J979" s="11">
        <f>IFERROR(VLOOKUP(B979,'Plot Plan'!$A:$D,4,FALSE),"")</f>
      </c>
      <c r="K979" s="11">
        <f>IFERROR(VLOOKUP(B979,'Plot Plan'!$A:$B,2,FALSE),"")</f>
      </c>
      <c r="L979" s="11">
        <f>IFERROR(VLOOKUP(B979,'Plot Plan'!$A:$C,3,FALSE),"")</f>
      </c>
    </row>
    <row r="980" spans="1:12" s="8" customFormat="1" x14ac:dyDescent="0.25">
      <c r="A980" s="12"/>
      <c r="B980" s="10"/>
      <c r="C980" s="10"/>
      <c r="D980" s="10"/>
      <c r="E980" s="10"/>
      <c r="F980" s="10">
        <f>IF(AND(D980&lt;&gt;"",E980&lt;&gt;""),((TIMEVALUE(E980)-TIMEVALUE(D980))*24*60),"")</f>
      </c>
      <c r="G980" s="10"/>
      <c r="H980" s="10"/>
      <c r="I980" s="10">
        <f>IF(G980="","Pending",IF(G980&gt;=J980,"Accepted",IF(G980&gt;=(J980-Configuration!$C$5),"Tolerance","Refusal")))</f>
      </c>
      <c r="J980" s="10">
        <f>IFERROR(VLOOKUP(B980,'Plot Plan'!$A:$D,4,FALSE),"")</f>
      </c>
      <c r="K980" s="10">
        <f>IFERROR(VLOOKUP(B980,'Plot Plan'!$A:$B,2,FALSE),"")</f>
      </c>
      <c r="L980" s="10">
        <f>IFERROR(VLOOKUP(B980,'Plot Plan'!$A:$C,3,FALSE),"")</f>
      </c>
    </row>
    <row r="981" spans="1:12" x14ac:dyDescent="0.25">
      <c r="A981" s="13"/>
      <c r="B981" s="11"/>
      <c r="C981" s="11"/>
      <c r="D981" s="11"/>
      <c r="E981" s="11"/>
      <c r="F981" s="11">
        <f>IF(AND(D981&lt;&gt;"",E981&lt;&gt;""),((TIMEVALUE(E981)-TIMEVALUE(D981))*24*60),"")</f>
      </c>
      <c r="G981" s="11"/>
      <c r="H981" s="11"/>
      <c r="I981" s="11">
        <f>IF(G981="","Pending",IF(G981&gt;=J981,"Accepted",IF(G981&gt;=(J981-Configuration!$C$5),"Tolerance","Refusal")))</f>
      </c>
      <c r="J981" s="11">
        <f>IFERROR(VLOOKUP(B981,'Plot Plan'!$A:$D,4,FALSE),"")</f>
      </c>
      <c r="K981" s="11">
        <f>IFERROR(VLOOKUP(B981,'Plot Plan'!$A:$B,2,FALSE),"")</f>
      </c>
      <c r="L981" s="11">
        <f>IFERROR(VLOOKUP(B981,'Plot Plan'!$A:$C,3,FALSE),"")</f>
      </c>
    </row>
    <row r="982" spans="1:12" s="8" customFormat="1" x14ac:dyDescent="0.25">
      <c r="A982" s="12"/>
      <c r="B982" s="10"/>
      <c r="C982" s="10"/>
      <c r="D982" s="10"/>
      <c r="E982" s="10"/>
      <c r="F982" s="10">
        <f>IF(AND(D982&lt;&gt;"",E982&lt;&gt;""),((TIMEVALUE(E982)-TIMEVALUE(D982))*24*60),"")</f>
      </c>
      <c r="G982" s="10"/>
      <c r="H982" s="10"/>
      <c r="I982" s="10">
        <f>IF(G982="","Pending",IF(G982&gt;=J982,"Accepted",IF(G982&gt;=(J982-Configuration!$C$5),"Tolerance","Refusal")))</f>
      </c>
      <c r="J982" s="10">
        <f>IFERROR(VLOOKUP(B982,'Plot Plan'!$A:$D,4,FALSE),"")</f>
      </c>
      <c r="K982" s="10">
        <f>IFERROR(VLOOKUP(B982,'Plot Plan'!$A:$B,2,FALSE),"")</f>
      </c>
      <c r="L982" s="10">
        <f>IFERROR(VLOOKUP(B982,'Plot Plan'!$A:$C,3,FALSE),"")</f>
      </c>
    </row>
    <row r="983" spans="1:12" x14ac:dyDescent="0.25">
      <c r="A983" s="13"/>
      <c r="B983" s="11"/>
      <c r="C983" s="11"/>
      <c r="D983" s="11"/>
      <c r="E983" s="11"/>
      <c r="F983" s="11">
        <f>IF(AND(D983&lt;&gt;"",E983&lt;&gt;""),((TIMEVALUE(E983)-TIMEVALUE(D983))*24*60),"")</f>
      </c>
      <c r="G983" s="11"/>
      <c r="H983" s="11"/>
      <c r="I983" s="11">
        <f>IF(G983="","Pending",IF(G983&gt;=J983,"Accepted",IF(G983&gt;=(J983-Configuration!$C$5),"Tolerance","Refusal")))</f>
      </c>
      <c r="J983" s="11">
        <f>IFERROR(VLOOKUP(B983,'Plot Plan'!$A:$D,4,FALSE),"")</f>
      </c>
      <c r="K983" s="11">
        <f>IFERROR(VLOOKUP(B983,'Plot Plan'!$A:$B,2,FALSE),"")</f>
      </c>
      <c r="L983" s="11">
        <f>IFERROR(VLOOKUP(B983,'Plot Plan'!$A:$C,3,FALSE),"")</f>
      </c>
    </row>
    <row r="984" spans="1:12" s="8" customFormat="1" x14ac:dyDescent="0.25">
      <c r="A984" s="12"/>
      <c r="B984" s="10"/>
      <c r="C984" s="10"/>
      <c r="D984" s="10"/>
      <c r="E984" s="10"/>
      <c r="F984" s="10">
        <f>IF(AND(D984&lt;&gt;"",E984&lt;&gt;""),((TIMEVALUE(E984)-TIMEVALUE(D984))*24*60),"")</f>
      </c>
      <c r="G984" s="10"/>
      <c r="H984" s="10"/>
      <c r="I984" s="10">
        <f>IF(G984="","Pending",IF(G984&gt;=J984,"Accepted",IF(G984&gt;=(J984-Configuration!$C$5),"Tolerance","Refusal")))</f>
      </c>
      <c r="J984" s="10">
        <f>IFERROR(VLOOKUP(B984,'Plot Plan'!$A:$D,4,FALSE),"")</f>
      </c>
      <c r="K984" s="10">
        <f>IFERROR(VLOOKUP(B984,'Plot Plan'!$A:$B,2,FALSE),"")</f>
      </c>
      <c r="L984" s="10">
        <f>IFERROR(VLOOKUP(B984,'Plot Plan'!$A:$C,3,FALSE),"")</f>
      </c>
    </row>
    <row r="985" spans="1:12" x14ac:dyDescent="0.25">
      <c r="A985" s="13"/>
      <c r="B985" s="11"/>
      <c r="C985" s="11"/>
      <c r="D985" s="11"/>
      <c r="E985" s="11"/>
      <c r="F985" s="11">
        <f>IF(AND(D985&lt;&gt;"",E985&lt;&gt;""),((TIMEVALUE(E985)-TIMEVALUE(D985))*24*60),"")</f>
      </c>
      <c r="G985" s="11"/>
      <c r="H985" s="11"/>
      <c r="I985" s="11">
        <f>IF(G985="","Pending",IF(G985&gt;=J985,"Accepted",IF(G985&gt;=(J985-Configuration!$C$5),"Tolerance","Refusal")))</f>
      </c>
      <c r="J985" s="11">
        <f>IFERROR(VLOOKUP(B985,'Plot Plan'!$A:$D,4,FALSE),"")</f>
      </c>
      <c r="K985" s="11">
        <f>IFERROR(VLOOKUP(B985,'Plot Plan'!$A:$B,2,FALSE),"")</f>
      </c>
      <c r="L985" s="11">
        <f>IFERROR(VLOOKUP(B985,'Plot Plan'!$A:$C,3,FALSE),"")</f>
      </c>
    </row>
    <row r="986" spans="1:12" s="8" customFormat="1" x14ac:dyDescent="0.25">
      <c r="A986" s="12"/>
      <c r="B986" s="10"/>
      <c r="C986" s="10"/>
      <c r="D986" s="10"/>
      <c r="E986" s="10"/>
      <c r="F986" s="10">
        <f>IF(AND(D986&lt;&gt;"",E986&lt;&gt;""),((TIMEVALUE(E986)-TIMEVALUE(D986))*24*60),"")</f>
      </c>
      <c r="G986" s="10"/>
      <c r="H986" s="10"/>
      <c r="I986" s="10">
        <f>IF(G986="","Pending",IF(G986&gt;=J986,"Accepted",IF(G986&gt;=(J986-Configuration!$C$5),"Tolerance","Refusal")))</f>
      </c>
      <c r="J986" s="10">
        <f>IFERROR(VLOOKUP(B986,'Plot Plan'!$A:$D,4,FALSE),"")</f>
      </c>
      <c r="K986" s="10">
        <f>IFERROR(VLOOKUP(B986,'Plot Plan'!$A:$B,2,FALSE),"")</f>
      </c>
      <c r="L986" s="10">
        <f>IFERROR(VLOOKUP(B986,'Plot Plan'!$A:$C,3,FALSE),"")</f>
      </c>
    </row>
    <row r="987" spans="1:12" x14ac:dyDescent="0.25">
      <c r="A987" s="13"/>
      <c r="B987" s="11"/>
      <c r="C987" s="11"/>
      <c r="D987" s="11"/>
      <c r="E987" s="11"/>
      <c r="F987" s="11">
        <f>IF(AND(D987&lt;&gt;"",E987&lt;&gt;""),((TIMEVALUE(E987)-TIMEVALUE(D987))*24*60),"")</f>
      </c>
      <c r="G987" s="11"/>
      <c r="H987" s="11"/>
      <c r="I987" s="11">
        <f>IF(G987="","Pending",IF(G987&gt;=J987,"Accepted",IF(G987&gt;=(J987-Configuration!$C$5),"Tolerance","Refusal")))</f>
      </c>
      <c r="J987" s="11">
        <f>IFERROR(VLOOKUP(B987,'Plot Plan'!$A:$D,4,FALSE),"")</f>
      </c>
      <c r="K987" s="11">
        <f>IFERROR(VLOOKUP(B987,'Plot Plan'!$A:$B,2,FALSE),"")</f>
      </c>
      <c r="L987" s="11">
        <f>IFERROR(VLOOKUP(B987,'Plot Plan'!$A:$C,3,FALSE),"")</f>
      </c>
    </row>
    <row r="988" spans="1:12" s="8" customFormat="1" x14ac:dyDescent="0.25">
      <c r="A988" s="12"/>
      <c r="B988" s="10"/>
      <c r="C988" s="10"/>
      <c r="D988" s="10"/>
      <c r="E988" s="10"/>
      <c r="F988" s="10">
        <f>IF(AND(D988&lt;&gt;"",E988&lt;&gt;""),((TIMEVALUE(E988)-TIMEVALUE(D988))*24*60),"")</f>
      </c>
      <c r="G988" s="10"/>
      <c r="H988" s="10"/>
      <c r="I988" s="10">
        <f>IF(G988="","Pending",IF(G988&gt;=J988,"Accepted",IF(G988&gt;=(J988-Configuration!$C$5),"Tolerance","Refusal")))</f>
      </c>
      <c r="J988" s="10">
        <f>IFERROR(VLOOKUP(B988,'Plot Plan'!$A:$D,4,FALSE),"")</f>
      </c>
      <c r="K988" s="10">
        <f>IFERROR(VLOOKUP(B988,'Plot Plan'!$A:$B,2,FALSE),"")</f>
      </c>
      <c r="L988" s="10">
        <f>IFERROR(VLOOKUP(B988,'Plot Plan'!$A:$C,3,FALSE),"")</f>
      </c>
    </row>
    <row r="989" spans="1:12" x14ac:dyDescent="0.25">
      <c r="A989" s="13"/>
      <c r="B989" s="11"/>
      <c r="C989" s="11"/>
      <c r="D989" s="11"/>
      <c r="E989" s="11"/>
      <c r="F989" s="11">
        <f>IF(AND(D989&lt;&gt;"",E989&lt;&gt;""),((TIMEVALUE(E989)-TIMEVALUE(D989))*24*60),"")</f>
      </c>
      <c r="G989" s="11"/>
      <c r="H989" s="11"/>
      <c r="I989" s="11">
        <f>IF(G989="","Pending",IF(G989&gt;=J989,"Accepted",IF(G989&gt;=(J989-Configuration!$C$5),"Tolerance","Refusal")))</f>
      </c>
      <c r="J989" s="11">
        <f>IFERROR(VLOOKUP(B989,'Plot Plan'!$A:$D,4,FALSE),"")</f>
      </c>
      <c r="K989" s="11">
        <f>IFERROR(VLOOKUP(B989,'Plot Plan'!$A:$B,2,FALSE),"")</f>
      </c>
      <c r="L989" s="11">
        <f>IFERROR(VLOOKUP(B989,'Plot Plan'!$A:$C,3,FALSE),"")</f>
      </c>
    </row>
    <row r="990" spans="1:12" s="8" customFormat="1" x14ac:dyDescent="0.25">
      <c r="A990" s="12"/>
      <c r="B990" s="10"/>
      <c r="C990" s="10"/>
      <c r="D990" s="10"/>
      <c r="E990" s="10"/>
      <c r="F990" s="10">
        <f>IF(AND(D990&lt;&gt;"",E990&lt;&gt;""),((TIMEVALUE(E990)-TIMEVALUE(D990))*24*60),"")</f>
      </c>
      <c r="G990" s="10"/>
      <c r="H990" s="10"/>
      <c r="I990" s="10">
        <f>IF(G990="","Pending",IF(G990&gt;=J990,"Accepted",IF(G990&gt;=(J990-Configuration!$C$5),"Tolerance","Refusal")))</f>
      </c>
      <c r="J990" s="10">
        <f>IFERROR(VLOOKUP(B990,'Plot Plan'!$A:$D,4,FALSE),"")</f>
      </c>
      <c r="K990" s="10">
        <f>IFERROR(VLOOKUP(B990,'Plot Plan'!$A:$B,2,FALSE),"")</f>
      </c>
      <c r="L990" s="10">
        <f>IFERROR(VLOOKUP(B990,'Plot Plan'!$A:$C,3,FALSE),"")</f>
      </c>
    </row>
    <row r="991" spans="1:12" x14ac:dyDescent="0.25">
      <c r="A991" s="13"/>
      <c r="B991" s="11"/>
      <c r="C991" s="11"/>
      <c r="D991" s="11"/>
      <c r="E991" s="11"/>
      <c r="F991" s="11">
        <f>IF(AND(D991&lt;&gt;"",E991&lt;&gt;""),((TIMEVALUE(E991)-TIMEVALUE(D991))*24*60),"")</f>
      </c>
      <c r="G991" s="11"/>
      <c r="H991" s="11"/>
      <c r="I991" s="11">
        <f>IF(G991="","Pending",IF(G991&gt;=J991,"Accepted",IF(G991&gt;=(J991-Configuration!$C$5),"Tolerance","Refusal")))</f>
      </c>
      <c r="J991" s="11">
        <f>IFERROR(VLOOKUP(B991,'Plot Plan'!$A:$D,4,FALSE),"")</f>
      </c>
      <c r="K991" s="11">
        <f>IFERROR(VLOOKUP(B991,'Plot Plan'!$A:$B,2,FALSE),"")</f>
      </c>
      <c r="L991" s="11">
        <f>IFERROR(VLOOKUP(B991,'Plot Plan'!$A:$C,3,FALSE),"")</f>
      </c>
    </row>
    <row r="992" spans="1:12" s="8" customFormat="1" x14ac:dyDescent="0.25">
      <c r="A992" s="12"/>
      <c r="B992" s="10"/>
      <c r="C992" s="10"/>
      <c r="D992" s="10"/>
      <c r="E992" s="10"/>
      <c r="F992" s="10">
        <f>IF(AND(D992&lt;&gt;"",E992&lt;&gt;""),((TIMEVALUE(E992)-TIMEVALUE(D992))*24*60),"")</f>
      </c>
      <c r="G992" s="10"/>
      <c r="H992" s="10"/>
      <c r="I992" s="10">
        <f>IF(G992="","Pending",IF(G992&gt;=J992,"Accepted",IF(G992&gt;=(J992-Configuration!$C$5),"Tolerance","Refusal")))</f>
      </c>
      <c r="J992" s="10">
        <f>IFERROR(VLOOKUP(B992,'Plot Plan'!$A:$D,4,FALSE),"")</f>
      </c>
      <c r="K992" s="10">
        <f>IFERROR(VLOOKUP(B992,'Plot Plan'!$A:$B,2,FALSE),"")</f>
      </c>
      <c r="L992" s="10">
        <f>IFERROR(VLOOKUP(B992,'Plot Plan'!$A:$C,3,FALSE),"")</f>
      </c>
    </row>
    <row r="993" spans="1:12" x14ac:dyDescent="0.25">
      <c r="A993" s="13"/>
      <c r="B993" s="11"/>
      <c r="C993" s="11"/>
      <c r="D993" s="11"/>
      <c r="E993" s="11"/>
      <c r="F993" s="11">
        <f>IF(AND(D993&lt;&gt;"",E993&lt;&gt;""),((TIMEVALUE(E993)-TIMEVALUE(D993))*24*60),"")</f>
      </c>
      <c r="G993" s="11"/>
      <c r="H993" s="11"/>
      <c r="I993" s="11">
        <f>IF(G993="","Pending",IF(G993&gt;=J993,"Accepted",IF(G993&gt;=(J993-Configuration!$C$5),"Tolerance","Refusal")))</f>
      </c>
      <c r="J993" s="11">
        <f>IFERROR(VLOOKUP(B993,'Plot Plan'!$A:$D,4,FALSE),"")</f>
      </c>
      <c r="K993" s="11">
        <f>IFERROR(VLOOKUP(B993,'Plot Plan'!$A:$B,2,FALSE),"")</f>
      </c>
      <c r="L993" s="11">
        <f>IFERROR(VLOOKUP(B993,'Plot Plan'!$A:$C,3,FALSE),"")</f>
      </c>
    </row>
    <row r="994" spans="1:12" s="8" customFormat="1" x14ac:dyDescent="0.25">
      <c r="A994" s="12"/>
      <c r="B994" s="10"/>
      <c r="C994" s="10"/>
      <c r="D994" s="10"/>
      <c r="E994" s="10"/>
      <c r="F994" s="10">
        <f>IF(AND(D994&lt;&gt;"",E994&lt;&gt;""),((TIMEVALUE(E994)-TIMEVALUE(D994))*24*60),"")</f>
      </c>
      <c r="G994" s="10"/>
      <c r="H994" s="10"/>
      <c r="I994" s="10">
        <f>IF(G994="","Pending",IF(G994&gt;=J994,"Accepted",IF(G994&gt;=(J994-Configuration!$C$5),"Tolerance","Refusal")))</f>
      </c>
      <c r="J994" s="10">
        <f>IFERROR(VLOOKUP(B994,'Plot Plan'!$A:$D,4,FALSE),"")</f>
      </c>
      <c r="K994" s="10">
        <f>IFERROR(VLOOKUP(B994,'Plot Plan'!$A:$B,2,FALSE),"")</f>
      </c>
      <c r="L994" s="10">
        <f>IFERROR(VLOOKUP(B994,'Plot Plan'!$A:$C,3,FALSE),"")</f>
      </c>
    </row>
    <row r="995" spans="1:12" x14ac:dyDescent="0.25">
      <c r="A995" s="13"/>
      <c r="B995" s="11"/>
      <c r="C995" s="11"/>
      <c r="D995" s="11"/>
      <c r="E995" s="11"/>
      <c r="F995" s="11">
        <f>IF(AND(D995&lt;&gt;"",E995&lt;&gt;""),((TIMEVALUE(E995)-TIMEVALUE(D995))*24*60),"")</f>
      </c>
      <c r="G995" s="11"/>
      <c r="H995" s="11"/>
      <c r="I995" s="11">
        <f>IF(G995="","Pending",IF(G995&gt;=J995,"Accepted",IF(G995&gt;=(J995-Configuration!$C$5),"Tolerance","Refusal")))</f>
      </c>
      <c r="J995" s="11">
        <f>IFERROR(VLOOKUP(B995,'Plot Plan'!$A:$D,4,FALSE),"")</f>
      </c>
      <c r="K995" s="11">
        <f>IFERROR(VLOOKUP(B995,'Plot Plan'!$A:$B,2,FALSE),"")</f>
      </c>
      <c r="L995" s="11">
        <f>IFERROR(VLOOKUP(B995,'Plot Plan'!$A:$C,3,FALSE),"")</f>
      </c>
    </row>
    <row r="996" spans="1:12" s="8" customFormat="1" x14ac:dyDescent="0.25">
      <c r="A996" s="12"/>
      <c r="B996" s="10"/>
      <c r="C996" s="10"/>
      <c r="D996" s="10"/>
      <c r="E996" s="10"/>
      <c r="F996" s="10">
        <f>IF(AND(D996&lt;&gt;"",E996&lt;&gt;""),((TIMEVALUE(E996)-TIMEVALUE(D996))*24*60),"")</f>
      </c>
      <c r="G996" s="10"/>
      <c r="H996" s="10"/>
      <c r="I996" s="10">
        <f>IF(G996="","Pending",IF(G996&gt;=J996,"Accepted",IF(G996&gt;=(J996-Configuration!$C$5),"Tolerance","Refusal")))</f>
      </c>
      <c r="J996" s="10">
        <f>IFERROR(VLOOKUP(B996,'Plot Plan'!$A:$D,4,FALSE),"")</f>
      </c>
      <c r="K996" s="10">
        <f>IFERROR(VLOOKUP(B996,'Plot Plan'!$A:$B,2,FALSE),"")</f>
      </c>
      <c r="L996" s="10">
        <f>IFERROR(VLOOKUP(B996,'Plot Plan'!$A:$C,3,FALSE),"")</f>
      </c>
    </row>
    <row r="997" spans="1:12" x14ac:dyDescent="0.25">
      <c r="A997" s="13"/>
      <c r="B997" s="11"/>
      <c r="C997" s="11"/>
      <c r="D997" s="11"/>
      <c r="E997" s="11"/>
      <c r="F997" s="11">
        <f>IF(AND(D997&lt;&gt;"",E997&lt;&gt;""),((TIMEVALUE(E997)-TIMEVALUE(D997))*24*60),"")</f>
      </c>
      <c r="G997" s="11"/>
      <c r="H997" s="11"/>
      <c r="I997" s="11">
        <f>IF(G997="","Pending",IF(G997&gt;=J997,"Accepted",IF(G997&gt;=(J997-Configuration!$C$5),"Tolerance","Refusal")))</f>
      </c>
      <c r="J997" s="11">
        <f>IFERROR(VLOOKUP(B997,'Plot Plan'!$A:$D,4,FALSE),"")</f>
      </c>
      <c r="K997" s="11">
        <f>IFERROR(VLOOKUP(B997,'Plot Plan'!$A:$B,2,FALSE),"")</f>
      </c>
      <c r="L997" s="11">
        <f>IFERROR(VLOOKUP(B997,'Plot Plan'!$A:$C,3,FALSE),"")</f>
      </c>
    </row>
    <row r="998" spans="1:12" s="8" customFormat="1" x14ac:dyDescent="0.25">
      <c r="A998" s="12"/>
      <c r="B998" s="10"/>
      <c r="C998" s="10"/>
      <c r="D998" s="10"/>
      <c r="E998" s="10"/>
      <c r="F998" s="10">
        <f>IF(AND(D998&lt;&gt;"",E998&lt;&gt;""),((TIMEVALUE(E998)-TIMEVALUE(D998))*24*60),"")</f>
      </c>
      <c r="G998" s="10"/>
      <c r="H998" s="10"/>
      <c r="I998" s="10">
        <f>IF(G998="","Pending",IF(G998&gt;=J998,"Accepted",IF(G998&gt;=(J998-Configuration!$C$5),"Tolerance","Refusal")))</f>
      </c>
      <c r="J998" s="10">
        <f>IFERROR(VLOOKUP(B998,'Plot Plan'!$A:$D,4,FALSE),"")</f>
      </c>
      <c r="K998" s="10">
        <f>IFERROR(VLOOKUP(B998,'Plot Plan'!$A:$B,2,FALSE),"")</f>
      </c>
      <c r="L998" s="10">
        <f>IFERROR(VLOOKUP(B998,'Plot Plan'!$A:$C,3,FALSE),"")</f>
      </c>
    </row>
    <row r="999" spans="1:12" x14ac:dyDescent="0.25">
      <c r="A999" s="13"/>
      <c r="B999" s="11"/>
      <c r="C999" s="11"/>
      <c r="D999" s="11"/>
      <c r="E999" s="11"/>
      <c r="F999" s="11">
        <f>IF(AND(D999&lt;&gt;"",E999&lt;&gt;""),((TIMEVALUE(E999)-TIMEVALUE(D999))*24*60),"")</f>
      </c>
      <c r="G999" s="11"/>
      <c r="H999" s="11"/>
      <c r="I999" s="11">
        <f>IF(G999="","Pending",IF(G999&gt;=J999,"Accepted",IF(G999&gt;=(J999-Configuration!$C$5),"Tolerance","Refusal")))</f>
      </c>
      <c r="J999" s="11">
        <f>IFERROR(VLOOKUP(B999,'Plot Plan'!$A:$D,4,FALSE),"")</f>
      </c>
      <c r="K999" s="11">
        <f>IFERROR(VLOOKUP(B999,'Plot Plan'!$A:$B,2,FALSE),"")</f>
      </c>
      <c r="L999" s="11">
        <f>IFERROR(VLOOKUP(B999,'Plot Plan'!$A:$C,3,FALSE),"")</f>
      </c>
    </row>
    <row r="1000" spans="1:12" s="8" customFormat="1" x14ac:dyDescent="0.25">
      <c r="A1000" s="12"/>
      <c r="B1000" s="10"/>
      <c r="C1000" s="10"/>
      <c r="D1000" s="10"/>
      <c r="E1000" s="10"/>
      <c r="F1000" s="10">
        <f>IF(AND(D1000&lt;&gt;"",E1000&lt;&gt;""),((TIMEVALUE(E1000)-TIMEVALUE(D1000))*24*60),"")</f>
      </c>
      <c r="G1000" s="10"/>
      <c r="H1000" s="10"/>
      <c r="I1000" s="10">
        <f>IF(G1000="","Pending",IF(G1000&gt;=J1000,"Accepted",IF(G1000&gt;=(J1000-Configuration!$C$5),"Tolerance","Refusal")))</f>
      </c>
      <c r="J1000" s="10">
        <f>IFERROR(VLOOKUP(B1000,'Plot Plan'!$A:$D,4,FALSE),"")</f>
      </c>
      <c r="K1000" s="10">
        <f>IFERROR(VLOOKUP(B1000,'Plot Plan'!$A:$B,2,FALSE),"")</f>
      </c>
      <c r="L1000" s="10">
        <f>IFERROR(VLOOKUP(B1000,'Plot Plan'!$A:$C,3,FALSE),"")</f>
      </c>
    </row>
  </sheetData>
  <conditionalFormatting sqref="I2:I1000">
    <cfRule type="containsText" dxfId="0" priority="1">
      <formula>NOT(ISERROR(SEARCH("Accepted",I2)))</formula>
    </cfRule>
    <cfRule type="containsText" dxfId="1" priority="2">
      <formula>NOT(ISERROR(SEARCH("Tolerance",I2)))</formula>
    </cfRule>
    <cfRule type="containsText" dxfId="2" priority="3">
      <formula>NOT(ISERROR(SEARCH("Refusal",I2)))</formula>
    </cfRule>
    <cfRule type="containsText" dxfId="3" priority="4">
      <formula>NOT(ISERROR(SEARCH("Pending",I2)))</formula>
    </cfRule>
  </conditionalFormatting>
  <conditionalFormatting sqref="H2:H1000">
    <cfRule type="containsText" dxfId="4" priority="5">
      <formula>NOT(ISERROR(SEARCH("Yes",H2)))</formula>
    </cfRule>
  </conditionalFormatting>
  <conditionalFormatting sqref="F2:F1000">
    <cfRule type="cellIs" dxfId="5" priority="6" operator="greaterThan">
      <formula>60</formula>
    </cfRule>
  </conditionalFormatting>
  <dataValidations count="2">
    <dataValidation type="list" allowBlank="1" sqref="H10:H1000">
      <formula1>"Yes,No"</formula1>
    </dataValidation>
    <dataValidation type="list" allowBlank="1" sqref="H2:H1000">
      <formula1>"Yes,No"</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6"/>
  <sheetViews>
    <sheetView workbookViewId="0" showGridLines="0"/>
  </sheetViews>
  <sheetFormatPr defaultRowHeight="15" outlineLevelRow="0" outlineLevelCol="0" x14ac:dyDescent="55"/>
  <cols>
    <col min="1" max="1" width="3" customWidth="1"/>
    <col min="2" max="2" width="25" customWidth="1"/>
    <col min="3" max="7" width="15" customWidth="1"/>
    <col min="8" max="8" width="3" customWidth="1"/>
  </cols>
  <sheetData>
    <row r="2" ht="35" customHeight="1" spans="2:7" x14ac:dyDescent="0.25">
      <c r="B2" s="14" t="s">
        <v>61</v>
      </c>
      <c r="C2" s="14"/>
      <c r="D2" s="14"/>
      <c r="E2" s="14"/>
      <c r="F2" s="14"/>
      <c r="G2" s="14"/>
    </row>
    <row r="4" ht="25" customHeight="1" spans="2:3" x14ac:dyDescent="0.25">
      <c r="B4" s="15" t="s">
        <v>62</v>
      </c>
      <c r="C4" s="15"/>
    </row>
    <row r="5" spans="2:3" x14ac:dyDescent="0.25">
      <c r="B5" s="3" t="s">
        <v>2</v>
      </c>
      <c r="C5" s="4">
        <f>=Configuration!C5</f>
      </c>
    </row>
    <row r="6" spans="2:3" x14ac:dyDescent="0.25">
      <c r="B6" s="3" t="s">
        <v>63</v>
      </c>
      <c r="C6" s="16">
        <f>TODAY()</f>
      </c>
    </row>
    <row r="8" ht="25" customHeight="1" spans="2:7" x14ac:dyDescent="0.25">
      <c r="B8" s="17" t="s">
        <v>64</v>
      </c>
      <c r="C8" s="17"/>
      <c r="D8" s="17"/>
      <c r="E8" s="18" t="s">
        <v>65</v>
      </c>
      <c r="F8" s="18"/>
      <c r="G8" s="18"/>
    </row>
    <row r="9" spans="2:7" x14ac:dyDescent="0.25">
      <c r="B9" s="19" t="s">
        <v>66</v>
      </c>
      <c r="C9" s="19" t="s">
        <v>67</v>
      </c>
      <c r="D9" s="19" t="s">
        <v>68</v>
      </c>
      <c r="E9" s="20" t="s">
        <v>69</v>
      </c>
      <c r="F9" s="20" t="s">
        <v>70</v>
      </c>
      <c r="G9" s="20" t="s">
        <v>71</v>
      </c>
    </row>
    <row r="10" spans="2:7" x14ac:dyDescent="0.25">
      <c r="B10" s="21" t="s">
        <v>72</v>
      </c>
      <c r="C10" s="22">
        <f>COUNTA('Plot Plan'!A2:A1000)</f>
      </c>
      <c r="D10" s="22" t="s">
        <v>73</v>
      </c>
      <c r="E10" s="21">
        <f>=Configuration!B9</f>
      </c>
      <c r="F10" s="22">
        <f>COUNTIF('Plot Plan'!B:B,E10)</f>
      </c>
      <c r="G10" s="22">
        <f>COUNTIF('Field Data Entry'!K:K,E10)</f>
      </c>
    </row>
    <row r="11" spans="2:7" x14ac:dyDescent="0.25">
      <c r="B11" s="21" t="s">
        <v>74</v>
      </c>
      <c r="C11" s="22">
        <f>COUNTA('Field Data Entry'!B2:B1000)</f>
      </c>
      <c r="D11" s="22" t="s">
        <v>73</v>
      </c>
      <c r="E11" s="21">
        <f>=Configuration!B10</f>
      </c>
      <c r="F11" s="22">
        <f>COUNTIF('Plot Plan'!B:B,E11)</f>
      </c>
      <c r="G11" s="22">
        <f>COUNTIF('Field Data Entry'!K:K,E11)</f>
      </c>
    </row>
    <row r="12" spans="2:7" x14ac:dyDescent="0.25">
      <c r="B12" s="23" t="s">
        <v>75</v>
      </c>
      <c r="C12" s="22">
        <f>COUNTIF('Field Data Entry'!I:I,"Accepted")</f>
      </c>
      <c r="D12" s="24">
        <f>IF(C11&gt;0,C12/C11,0)</f>
      </c>
      <c r="E12" s="21">
        <f>=Configuration!B11</f>
      </c>
      <c r="F12" s="22">
        <f>COUNTIF('Plot Plan'!B:B,E12)</f>
      </c>
      <c r="G12" s="22">
        <f>COUNTIF('Field Data Entry'!K:K,E12)</f>
      </c>
    </row>
    <row r="13" spans="2:7" x14ac:dyDescent="0.25">
      <c r="B13" s="25" t="s">
        <v>76</v>
      </c>
      <c r="C13" s="22">
        <f>COUNTIF('Field Data Entry'!I:I,"Tolerance")</f>
      </c>
      <c r="D13" s="24">
        <f>IF(C11&gt;0,C13/C11,0)</f>
      </c>
      <c r="E13" s="21">
        <f>=Configuration!B12</f>
      </c>
      <c r="F13" s="22">
        <f>COUNTIF('Plot Plan'!B:B,E13)</f>
      </c>
      <c r="G13" s="22">
        <f>COUNTIF('Field Data Entry'!K:K,E13)</f>
      </c>
    </row>
    <row r="14" spans="2:4" x14ac:dyDescent="0.25">
      <c r="B14" s="26" t="s">
        <v>45</v>
      </c>
      <c r="C14" s="22">
        <f>COUNTIF('Field Data Entry'!I:I,"Refusal")</f>
      </c>
      <c r="D14" s="24">
        <f>IF(C11&gt;0,C14/C11,0)</f>
      </c>
    </row>
    <row r="15" spans="2:4" x14ac:dyDescent="0.25">
      <c r="B15" s="21" t="s">
        <v>77</v>
      </c>
      <c r="C15" s="22">
        <f>COUNTIF('Field Data Entry'!I:I,"Pending")</f>
      </c>
      <c r="D15" s="24">
        <f>IF(C11&gt;0,C15/C11,0)</f>
      </c>
    </row>
    <row r="16" spans="2:4" x14ac:dyDescent="0.25">
      <c r="B16" s="21" t="s">
        <v>78</v>
      </c>
      <c r="C16" s="22">
        <f>COUNTIF('Field Data Entry'!H:H,"Yes")</f>
      </c>
      <c r="D16" s="24">
        <f>IF(C11&gt;0,C16/C11,0)</f>
      </c>
    </row>
    <row r="17" spans="2:4" x14ac:dyDescent="0.25">
      <c r="B17" s="21" t="s">
        <v>79</v>
      </c>
      <c r="C17" s="22">
        <f>COUNTIF('Field Data Entry'!F:F,"&gt;60")</f>
      </c>
      <c r="D17" s="24">
        <f>IF(C11&gt;0,C17/C11,0)</f>
      </c>
    </row>
    <row r="20" ht="25" customHeight="1" spans="2:7" x14ac:dyDescent="0.25">
      <c r="B20" s="27" t="s">
        <v>80</v>
      </c>
      <c r="C20" s="27"/>
      <c r="D20" s="27"/>
      <c r="E20" s="27"/>
      <c r="F20" s="27"/>
      <c r="G20" s="27"/>
    </row>
    <row r="21" ht="30" customHeight="1" spans="2:7" x14ac:dyDescent="0.25">
      <c r="B21" s="28" t="s">
        <v>81</v>
      </c>
      <c r="C21" s="28"/>
      <c r="D21" s="28"/>
      <c r="E21" s="28"/>
      <c r="F21" s="28"/>
      <c r="G21" s="28"/>
    </row>
    <row r="22" ht="30" customHeight="1" spans="2:7" x14ac:dyDescent="0.25">
      <c r="B22" s="28" t="s">
        <v>82</v>
      </c>
      <c r="C22" s="28"/>
      <c r="D22" s="28"/>
      <c r="E22" s="28"/>
      <c r="F22" s="28"/>
      <c r="G22" s="28"/>
    </row>
    <row r="23" ht="30" customHeight="1" spans="2:7" x14ac:dyDescent="0.25">
      <c r="B23" s="28" t="s">
        <v>83</v>
      </c>
      <c r="C23" s="28"/>
      <c r="D23" s="28"/>
      <c r="E23" s="28"/>
      <c r="F23" s="28"/>
      <c r="G23" s="28"/>
    </row>
    <row r="24" ht="30" customHeight="1" spans="2:7" x14ac:dyDescent="0.25">
      <c r="B24" s="28" t="s">
        <v>84</v>
      </c>
      <c r="C24" s="28"/>
      <c r="D24" s="28"/>
      <c r="E24" s="28"/>
      <c r="F24" s="28"/>
      <c r="G24" s="28"/>
    </row>
    <row r="25" ht="30" customHeight="1" spans="2:7" x14ac:dyDescent="0.25">
      <c r="B25" s="28" t="s">
        <v>85</v>
      </c>
      <c r="C25" s="28"/>
      <c r="D25" s="28"/>
      <c r="E25" s="28"/>
      <c r="F25" s="28"/>
      <c r="G25" s="28"/>
    </row>
    <row r="26" ht="30" customHeight="1" spans="2:7" x14ac:dyDescent="0.25">
      <c r="B26" s="28" t="s">
        <v>86</v>
      </c>
      <c r="C26" s="28"/>
      <c r="D26" s="28"/>
      <c r="E26" s="28"/>
      <c r="F26" s="28"/>
      <c r="G26" s="28"/>
    </row>
  </sheetData>
  <mergeCells count="11">
    <mergeCell ref="B2:G2"/>
    <mergeCell ref="B4:C4"/>
    <mergeCell ref="B8:D8"/>
    <mergeCell ref="E8:G8"/>
    <mergeCell ref="B20:G20"/>
    <mergeCell ref="B21:G21"/>
    <mergeCell ref="B22:G22"/>
    <mergeCell ref="B23:G23"/>
    <mergeCell ref="B24:G24"/>
    <mergeCell ref="B25:G25"/>
    <mergeCell ref="B26:G2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pane ySplit="1" topLeftCell="A2" activePane="bottomLeft" state="frozen"/>
      <selection pane="bottomLeft"/>
    </sheetView>
  </sheetViews>
  <sheetFormatPr defaultRowHeight="15" outlineLevelRow="0" outlineLevelCol="0" x14ac:dyDescent="55"/>
  <cols>
    <col min="1" max="7" width="15" customWidth="1"/>
    <col min="8" max="8" width="18" customWidth="1"/>
  </cols>
  <sheetData>
    <row r="1" ht="25" customHeight="1" spans="1:8" s="29" customFormat="1" x14ac:dyDescent="0.25">
      <c r="A1" s="29" t="s">
        <v>20</v>
      </c>
      <c r="B1" s="29" t="s">
        <v>87</v>
      </c>
      <c r="C1" s="29" t="s">
        <v>75</v>
      </c>
      <c r="D1" s="29" t="s">
        <v>76</v>
      </c>
      <c r="E1" s="29" t="s">
        <v>45</v>
      </c>
      <c r="F1" s="29" t="s">
        <v>77</v>
      </c>
      <c r="G1" s="29" t="s">
        <v>88</v>
      </c>
      <c r="H1" s="29" t="s">
        <v>89</v>
      </c>
    </row>
    <row r="2" spans="1:8" x14ac:dyDescent="0.25">
      <c r="A2" s="30" t="s">
        <v>28</v>
      </c>
      <c r="B2" s="31">
        <f>COUNTIF('Field Data Entry'!L:L,"Block 1")</f>
      </c>
      <c r="C2" s="31">
        <f>COUNTIFS('Field Data Entry'!L:L,"Block 1",'Field Data Entry'!I:I,"Accepted")</f>
      </c>
      <c r="D2" s="31">
        <f>COUNTIFS('Field Data Entry'!L:L,"Block 1",'Field Data Entry'!I:I,"Tolerance")</f>
      </c>
      <c r="E2" s="31">
        <f>COUNTIFS('Field Data Entry'!L:L,"Block 1",'Field Data Entry'!I:I,"Refusal")</f>
      </c>
      <c r="F2" s="31">
        <f>COUNTIFS('Field Data Entry'!L:L,"Block 1",'Field Data Entry'!I:I,"Pending")</f>
      </c>
      <c r="G2" s="32">
        <f>IF(B2&gt;0,(B2-F2)/B2,0)</f>
      </c>
      <c r="H2" s="33">
        <f>AVERAGEIF('Field Data Entry'!L:L,"Block 1",'Field Data Entry'!F:F)</f>
      </c>
    </row>
    <row r="3" spans="1:8" x14ac:dyDescent="0.25">
      <c r="A3" s="30" t="s">
        <v>35</v>
      </c>
      <c r="B3" s="31">
        <f>COUNTIF('Field Data Entry'!L:L,"Block 2")</f>
      </c>
      <c r="C3" s="31">
        <f>COUNTIFS('Field Data Entry'!L:L,"Block 2",'Field Data Entry'!I:I,"Accepted")</f>
      </c>
      <c r="D3" s="31">
        <f>COUNTIFS('Field Data Entry'!L:L,"Block 2",'Field Data Entry'!I:I,"Tolerance")</f>
      </c>
      <c r="E3" s="31">
        <f>COUNTIFS('Field Data Entry'!L:L,"Block 2",'Field Data Entry'!I:I,"Refusal")</f>
      </c>
      <c r="F3" s="31">
        <f>COUNTIFS('Field Data Entry'!L:L,"Block 2",'Field Data Entry'!I:I,"Pending")</f>
      </c>
      <c r="G3" s="32">
        <f>IF(B3&gt;0,(B3-F3)/B3,0)</f>
      </c>
      <c r="H3" s="33">
        <f>AVERAGEIF('Field Data Entry'!L:L,"Block 2",'Field Data Entry'!F:F)</f>
      </c>
    </row>
    <row r="4" spans="1:8" x14ac:dyDescent="0.25">
      <c r="A4" s="30" t="s">
        <v>90</v>
      </c>
      <c r="B4" s="31">
        <f>COUNTIF('Field Data Entry'!L:L,"Block 3")</f>
      </c>
      <c r="C4" s="31">
        <f>COUNTIFS('Field Data Entry'!L:L,"Block 3",'Field Data Entry'!I:I,"Accepted")</f>
      </c>
      <c r="D4" s="31">
        <f>COUNTIFS('Field Data Entry'!L:L,"Block 3",'Field Data Entry'!I:I,"Tolerance")</f>
      </c>
      <c r="E4" s="31">
        <f>COUNTIFS('Field Data Entry'!L:L,"Block 3",'Field Data Entry'!I:I,"Refusal")</f>
      </c>
      <c r="F4" s="31">
        <f>COUNTIFS('Field Data Entry'!L:L,"Block 3",'Field Data Entry'!I:I,"Pending")</f>
      </c>
      <c r="G4" s="32">
        <f>IF(B4&gt;0,(B4-F4)/B4,0)</f>
      </c>
      <c r="H4" s="33">
        <f>AVERAGEIF('Field Data Entry'!L:L,"Block 3",'Field Data Entry'!F:F)</f>
      </c>
    </row>
    <row r="5" spans="1:8" x14ac:dyDescent="0.25">
      <c r="A5" s="30" t="s">
        <v>91</v>
      </c>
      <c r="B5" s="31">
        <f>COUNTIF('Field Data Entry'!L:L,"Block 4")</f>
      </c>
      <c r="C5" s="31">
        <f>COUNTIFS('Field Data Entry'!L:L,"Block 4",'Field Data Entry'!I:I,"Accepted")</f>
      </c>
      <c r="D5" s="31">
        <f>COUNTIFS('Field Data Entry'!L:L,"Block 4",'Field Data Entry'!I:I,"Tolerance")</f>
      </c>
      <c r="E5" s="31">
        <f>COUNTIFS('Field Data Entry'!L:L,"Block 4",'Field Data Entry'!I:I,"Refusal")</f>
      </c>
      <c r="F5" s="31">
        <f>COUNTIFS('Field Data Entry'!L:L,"Block 4",'Field Data Entry'!I:I,"Pending")</f>
      </c>
      <c r="G5" s="32">
        <f>IF(B5&gt;0,(B5-F5)/B5,0)</f>
      </c>
      <c r="H5" s="33">
        <f>AVERAGEIF('Field Data Entry'!L:L,"Block 4",'Field Data Entry'!F:F)</f>
      </c>
    </row>
  </sheetData>
  <conditionalFormatting sqref="G2:G100">
    <cfRule type="cellIs" dxfId="6" priority="1" operator="greaterThanOrEqual">
      <formula>0.9</formula>
    </cfRule>
    <cfRule type="cellIs" dxfId="7" priority="2" operator="lessThan">
      <formula>0.5</formula>
    </cfRule>
  </conditionalFormatting>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00"/>
  <sheetViews>
    <sheetView workbookViewId="0" showGridLines="0"/>
  </sheetViews>
  <sheetFormatPr defaultRowHeight="15" outlineLevelRow="0" outlineLevelCol="0" x14ac:dyDescent="55"/>
  <cols>
    <col min="1" max="1" width="2" customWidth="1"/>
    <col min="2" max="2" width="80" customWidth="1"/>
    <col min="3" max="3" width="2" customWidth="1"/>
  </cols>
  <sheetData>
    <row r="2" ht="40" customHeight="1" spans="2:2" x14ac:dyDescent="0.25">
      <c r="B2" s="34" t="s">
        <v>92</v>
      </c>
    </row>
    <row r="4" spans="2:2" x14ac:dyDescent="0.25">
      <c r="B4" s="35" t="s">
        <v>93</v>
      </c>
    </row>
    <row r="5" ht="30" customHeight="1" spans="2:2" x14ac:dyDescent="0.25">
      <c r="B5" s="36" t="s">
        <v>94</v>
      </c>
    </row>
    <row r="7" ht="25" customHeight="1" spans="2:2" x14ac:dyDescent="0.25">
      <c r="B7" s="37" t="s">
        <v>95</v>
      </c>
    </row>
    <row r="9" ht="20" customHeight="1" spans="2:2" x14ac:dyDescent="0.25">
      <c r="B9" s="38" t="s">
        <v>96</v>
      </c>
    </row>
    <row r="10" ht="60" customHeight="1" spans="2:2" x14ac:dyDescent="0.25">
      <c r="B10" s="39" t="s">
        <v>97</v>
      </c>
    </row>
    <row r="12" ht="20" customHeight="1" spans="2:2" x14ac:dyDescent="0.25">
      <c r="B12" s="40" t="s">
        <v>98</v>
      </c>
    </row>
    <row r="13" ht="60" customHeight="1" spans="2:2" x14ac:dyDescent="0.25">
      <c r="B13" s="39" t="s">
        <v>99</v>
      </c>
    </row>
    <row r="15" ht="20" customHeight="1" spans="2:2" x14ac:dyDescent="0.25">
      <c r="B15" s="41" t="s">
        <v>100</v>
      </c>
    </row>
    <row r="16" ht="60" customHeight="1" spans="2:2" x14ac:dyDescent="0.25">
      <c r="B16" s="39" t="s">
        <v>101</v>
      </c>
    </row>
    <row r="18" ht="25" customHeight="1" spans="2:2" x14ac:dyDescent="0.25">
      <c r="B18" s="17" t="s">
        <v>102</v>
      </c>
    </row>
    <row r="20" ht="20" customHeight="1" spans="2:2" x14ac:dyDescent="0.25">
      <c r="B20" s="42" t="s">
        <v>103</v>
      </c>
    </row>
    <row r="21" ht="45" customHeight="1" spans="2:2" x14ac:dyDescent="0.25">
      <c r="B21" s="43" t="s">
        <v>104</v>
      </c>
    </row>
    <row r="23" ht="20" customHeight="1" spans="2:2" x14ac:dyDescent="0.25">
      <c r="B23" s="44" t="s">
        <v>105</v>
      </c>
    </row>
    <row r="24" ht="45" customHeight="1" spans="2:2" x14ac:dyDescent="0.25">
      <c r="B24" s="43" t="s">
        <v>106</v>
      </c>
    </row>
    <row r="26" ht="20" customHeight="1" spans="2:2" x14ac:dyDescent="0.25">
      <c r="B26" s="45" t="s">
        <v>107</v>
      </c>
    </row>
    <row r="27" ht="45" customHeight="1" spans="2:2" x14ac:dyDescent="0.25">
      <c r="B27" s="43" t="s">
        <v>108</v>
      </c>
    </row>
    <row r="29" ht="20" customHeight="1" spans="2:2" x14ac:dyDescent="0.25">
      <c r="B29" s="46" t="s">
        <v>109</v>
      </c>
    </row>
    <row r="30" ht="45" customHeight="1" spans="2:2" x14ac:dyDescent="0.25">
      <c r="B30" s="43" t="s">
        <v>110</v>
      </c>
    </row>
    <row r="32" ht="20" customHeight="1" spans="2:2" x14ac:dyDescent="0.25">
      <c r="B32" s="47" t="s">
        <v>111</v>
      </c>
    </row>
    <row r="33" ht="45" customHeight="1" spans="2:2" x14ac:dyDescent="0.25">
      <c r="B33" s="43" t="s">
        <v>112</v>
      </c>
    </row>
    <row r="36" ht="25" customHeight="1" spans="2:2" x14ac:dyDescent="0.25">
      <c r="B36" s="27" t="s">
        <v>113</v>
      </c>
    </row>
    <row r="38" ht="30" customHeight="1" spans="2:2" x14ac:dyDescent="0.25">
      <c r="B38" s="48" t="s">
        <v>114</v>
      </c>
    </row>
    <row r="39" ht="30" customHeight="1" spans="2:2" x14ac:dyDescent="0.25">
      <c r="B39" s="49" t="s">
        <v>115</v>
      </c>
    </row>
    <row r="40" ht="30" customHeight="1" spans="2:2" x14ac:dyDescent="0.25">
      <c r="B40" s="50" t="s">
        <v>116</v>
      </c>
    </row>
    <row r="41" ht="30" customHeight="1" spans="2:2" x14ac:dyDescent="0.25">
      <c r="B41" s="51" t="s">
        <v>117</v>
      </c>
    </row>
    <row r="43" ht="25" customHeight="1" spans="2:2" x14ac:dyDescent="0.25">
      <c r="B43" s="37" t="s">
        <v>118</v>
      </c>
    </row>
    <row r="45" ht="35" customHeight="1" spans="2:2" x14ac:dyDescent="0.25">
      <c r="B45" s="39" t="s">
        <v>119</v>
      </c>
    </row>
    <row r="46" ht="35" customHeight="1" spans="2:2" x14ac:dyDescent="0.25">
      <c r="B46" s="52" t="s">
        <v>120</v>
      </c>
    </row>
    <row r="47" ht="35" customHeight="1" spans="2:2" x14ac:dyDescent="0.25">
      <c r="B47" s="39" t="s">
        <v>121</v>
      </c>
    </row>
    <row r="48" ht="35" customHeight="1" spans="2:2" x14ac:dyDescent="0.25">
      <c r="B48" s="52" t="s">
        <v>122</v>
      </c>
    </row>
    <row r="49" ht="35" customHeight="1" spans="2:2" x14ac:dyDescent="0.25">
      <c r="B49" s="39" t="s">
        <v>123</v>
      </c>
    </row>
    <row r="50" ht="35" customHeight="1" spans="2:2" x14ac:dyDescent="0.25">
      <c r="B50" s="52" t="s">
        <v>124</v>
      </c>
    </row>
    <row r="51" ht="35" customHeight="1" spans="2:2" x14ac:dyDescent="0.25">
      <c r="B51" s="39" t="s">
        <v>125</v>
      </c>
    </row>
    <row r="52" ht="35" customHeight="1" spans="2:2" x14ac:dyDescent="0.25">
      <c r="B52" s="52" t="s">
        <v>126</v>
      </c>
    </row>
    <row r="53" ht="35" customHeight="1" spans="2:2" x14ac:dyDescent="0.25">
      <c r="B53" s="39" t="s">
        <v>127</v>
      </c>
    </row>
    <row r="54" ht="35" customHeight="1" spans="2:2" x14ac:dyDescent="0.25">
      <c r="B54" s="52" t="s">
        <v>128</v>
      </c>
    </row>
    <row r="55" ht="35" customHeight="1" spans="2:2" x14ac:dyDescent="0.25">
      <c r="B55" s="39" t="s">
        <v>129</v>
      </c>
    </row>
    <row r="56" ht="35" customHeight="1" spans="2:2" x14ac:dyDescent="0.25">
      <c r="B56" s="52" t="s">
        <v>130</v>
      </c>
    </row>
    <row r="57" ht="35" customHeight="1" spans="2:2" x14ac:dyDescent="0.25">
      <c r="B57" s="39" t="s">
        <v>131</v>
      </c>
    </row>
    <row r="58" ht="35" customHeight="1" spans="2:2" x14ac:dyDescent="0.25">
      <c r="B58" s="52" t="s">
        <v>132</v>
      </c>
    </row>
    <row r="59" ht="35" customHeight="1" spans="2:2" x14ac:dyDescent="0.25">
      <c r="B59" s="39" t="s">
        <v>133</v>
      </c>
    </row>
    <row r="60" ht="35" customHeight="1" spans="2:2" x14ac:dyDescent="0.25">
      <c r="B60" s="52" t="s">
        <v>134</v>
      </c>
    </row>
    <row r="61" ht="35" customHeight="1" spans="2:2" x14ac:dyDescent="0.25">
      <c r="B61" s="39" t="s">
        <v>135</v>
      </c>
    </row>
    <row r="63" ht="25" customHeight="1" spans="2:2" x14ac:dyDescent="0.25">
      <c r="B63" s="53" t="s">
        <v>136</v>
      </c>
    </row>
    <row r="65" ht="20" customHeight="1" spans="2:2" x14ac:dyDescent="0.25">
      <c r="B65" s="40" t="s">
        <v>137</v>
      </c>
    </row>
    <row r="66" ht="25" customHeight="1" spans="2:2" x14ac:dyDescent="0.25">
      <c r="B66" s="54" t="s">
        <v>138</v>
      </c>
    </row>
    <row r="67" ht="30" customHeight="1" spans="2:2" x14ac:dyDescent="0.25">
      <c r="B67" s="43" t="s">
        <v>139</v>
      </c>
    </row>
    <row r="69" ht="20" customHeight="1" spans="2:2" x14ac:dyDescent="0.25">
      <c r="B69" s="40" t="s">
        <v>140</v>
      </c>
    </row>
    <row r="70" ht="25" customHeight="1" spans="2:2" x14ac:dyDescent="0.25">
      <c r="B70" s="54" t="s">
        <v>141</v>
      </c>
    </row>
    <row r="71" ht="30" customHeight="1" spans="2:2" x14ac:dyDescent="0.25">
      <c r="B71" s="43" t="s">
        <v>142</v>
      </c>
    </row>
    <row r="73" ht="20" customHeight="1" spans="2:2" x14ac:dyDescent="0.25">
      <c r="B73" s="40" t="s">
        <v>143</v>
      </c>
    </row>
    <row r="74" ht="25" customHeight="1" spans="2:2" x14ac:dyDescent="0.25">
      <c r="B74" s="54" t="s">
        <v>144</v>
      </c>
    </row>
    <row r="75" ht="30" customHeight="1" spans="2:2" x14ac:dyDescent="0.25">
      <c r="B75" s="43" t="s">
        <v>145</v>
      </c>
    </row>
    <row r="77" ht="20" customHeight="1" spans="2:2" x14ac:dyDescent="0.25">
      <c r="B77" s="40" t="s">
        <v>146</v>
      </c>
    </row>
    <row r="78" ht="25" customHeight="1" spans="2:2" x14ac:dyDescent="0.25">
      <c r="B78" s="54" t="s">
        <v>147</v>
      </c>
    </row>
    <row r="79" ht="30" customHeight="1" spans="2:2" x14ac:dyDescent="0.25">
      <c r="B79" s="43" t="s">
        <v>148</v>
      </c>
    </row>
    <row r="82" ht="25" customHeight="1" spans="2:2" x14ac:dyDescent="0.25">
      <c r="B82" s="55" t="s">
        <v>149</v>
      </c>
    </row>
    <row r="84" ht="25" customHeight="1" spans="2:2" x14ac:dyDescent="0.25">
      <c r="B84" s="56" t="s">
        <v>150</v>
      </c>
    </row>
    <row r="85" ht="30" customHeight="1" spans="2:2" x14ac:dyDescent="0.25">
      <c r="B85" s="57" t="s">
        <v>151</v>
      </c>
    </row>
    <row r="87" ht="25" customHeight="1" spans="2:2" x14ac:dyDescent="0.25">
      <c r="B87" s="56" t="s">
        <v>152</v>
      </c>
    </row>
    <row r="88" ht="30" customHeight="1" spans="2:2" x14ac:dyDescent="0.25">
      <c r="B88" s="57" t="s">
        <v>153</v>
      </c>
    </row>
    <row r="90" ht="25" customHeight="1" spans="2:2" x14ac:dyDescent="0.25">
      <c r="B90" s="56" t="s">
        <v>154</v>
      </c>
    </row>
    <row r="91" ht="30" customHeight="1" spans="2:2" x14ac:dyDescent="0.25">
      <c r="B91" s="57" t="s">
        <v>155</v>
      </c>
    </row>
    <row r="93" ht="25" customHeight="1" spans="2:2" x14ac:dyDescent="0.25">
      <c r="B93" s="56" t="s">
        <v>156</v>
      </c>
    </row>
    <row r="94" ht="30" customHeight="1" spans="2:2" x14ac:dyDescent="0.25">
      <c r="B94" s="57" t="s">
        <v>157</v>
      </c>
    </row>
    <row r="96" ht="25" customHeight="1" spans="2:2" x14ac:dyDescent="0.25">
      <c r="B96" s="56" t="s">
        <v>158</v>
      </c>
    </row>
    <row r="97" ht="30" customHeight="1" spans="2:2" x14ac:dyDescent="0.25">
      <c r="B97" s="57" t="s">
        <v>159</v>
      </c>
    </row>
    <row r="100" spans="2:2" x14ac:dyDescent="0.25">
      <c r="B100" s="58" t="s">
        <v>160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Configuration</vt:lpstr>
      <vt:lpstr>Plot Plan</vt:lpstr>
      <vt:lpstr>Field Data Entry</vt:lpstr>
      <vt:lpstr>Dashboard</vt:lpstr>
      <vt:lpstr>Block Analysis</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PileTrackerPro</dc:creator>
  <dc:title/>
  <dc:subject/>
  <dc:description/>
  <cp:keywords/>
  <cp:category/>
  <cp:lastModifiedBy>PileTrackerPro</cp:lastModifiedBy>
  <dcterms:created xsi:type="dcterms:W3CDTF">2025-11-17T16:13:30Z</dcterms:created>
  <dcterms:modified xsi:type="dcterms:W3CDTF">2025-11-17T16:13:30Z</dcterms:modified>
</cp:coreProperties>
</file>